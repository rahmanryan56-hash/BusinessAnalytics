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0" documentId="8_{0D0642D6-E5EC-4ABD-A603-564E31A0D68D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Question 1" sheetId="1" r:id="rId1"/>
    <sheet name="Question 2" sheetId="3" r:id="rId2"/>
    <sheet name="Question 3" sheetId="5" r:id="rId3"/>
    <sheet name="Question 4a" sheetId="6" r:id="rId4"/>
    <sheet name="Question4b" sheetId="7" r:id="rId5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7" l="1"/>
  <c r="N7" i="7"/>
  <c r="E8" i="7"/>
  <c r="C8" i="7"/>
  <c r="C9" i="7" s="1"/>
  <c r="C10" i="7" s="1"/>
  <c r="C11" i="7" s="1"/>
  <c r="J7" i="7"/>
  <c r="F7" i="7"/>
  <c r="E6" i="5"/>
  <c r="E5" i="5"/>
  <c r="E4" i="5"/>
  <c r="E7" i="5"/>
  <c r="E2" i="6"/>
  <c r="E1" i="6"/>
  <c r="F3" i="5"/>
  <c r="H3" i="5"/>
  <c r="E8" i="6"/>
  <c r="C8" i="6"/>
  <c r="C9" i="6" s="1"/>
  <c r="C10" i="6" s="1"/>
  <c r="C11" i="6" s="1"/>
  <c r="J7" i="6"/>
  <c r="F7" i="6"/>
  <c r="H7" i="6" s="1"/>
  <c r="D5" i="1"/>
  <c r="E7" i="1"/>
  <c r="I3" i="5"/>
  <c r="L3" i="5" s="1"/>
  <c r="H4" i="5"/>
  <c r="F4" i="5"/>
  <c r="C7" i="5"/>
  <c r="C6" i="5"/>
  <c r="C5" i="5"/>
  <c r="C4" i="5"/>
  <c r="J3" i="5"/>
  <c r="J13" i="3"/>
  <c r="J14" i="3"/>
  <c r="J15" i="3"/>
  <c r="J16" i="3"/>
  <c r="J12" i="3"/>
  <c r="J3" i="3"/>
  <c r="E4" i="1"/>
  <c r="J22" i="3"/>
  <c r="J23" i="3"/>
  <c r="J24" i="3"/>
  <c r="J25" i="3"/>
  <c r="J21" i="3"/>
  <c r="J26" i="3"/>
  <c r="E21" i="3"/>
  <c r="J17" i="3"/>
  <c r="E12" i="3"/>
  <c r="E3" i="3"/>
  <c r="E4" i="3" s="1"/>
  <c r="H7" i="7" l="1"/>
  <c r="O8" i="7"/>
  <c r="H8" i="7"/>
  <c r="K7" i="7"/>
  <c r="I7" i="7"/>
  <c r="L7" i="7" s="1"/>
  <c r="E9" i="7"/>
  <c r="J8" i="7"/>
  <c r="F8" i="7"/>
  <c r="J8" i="6"/>
  <c r="K4" i="5"/>
  <c r="H8" i="6"/>
  <c r="K7" i="6"/>
  <c r="I7" i="6"/>
  <c r="L7" i="6" s="1"/>
  <c r="E9" i="6"/>
  <c r="F8" i="6"/>
  <c r="E5" i="1"/>
  <c r="F5" i="5"/>
  <c r="F6" i="5" s="1"/>
  <c r="J4" i="5"/>
  <c r="K3" i="5"/>
  <c r="E22" i="3"/>
  <c r="D23" i="3" s="1"/>
  <c r="D22" i="3"/>
  <c r="D13" i="3"/>
  <c r="E13" i="3"/>
  <c r="D14" i="3" s="1"/>
  <c r="D4" i="3"/>
  <c r="E10" i="7" l="1"/>
  <c r="J9" i="7"/>
  <c r="F9" i="7"/>
  <c r="H9" i="7"/>
  <c r="K8" i="7"/>
  <c r="M8" i="7" s="1"/>
  <c r="I8" i="7"/>
  <c r="L8" i="7" s="1"/>
  <c r="K8" i="6"/>
  <c r="E10" i="6"/>
  <c r="J9" i="6"/>
  <c r="F9" i="6"/>
  <c r="H9" i="6"/>
  <c r="M8" i="6"/>
  <c r="I8" i="6"/>
  <c r="L8" i="6" s="1"/>
  <c r="E6" i="1"/>
  <c r="D6" i="1"/>
  <c r="I4" i="5"/>
  <c r="L4" i="5" s="1"/>
  <c r="H5" i="5"/>
  <c r="J5" i="5"/>
  <c r="E5" i="3"/>
  <c r="D5" i="3"/>
  <c r="H10" i="7" l="1"/>
  <c r="K9" i="7"/>
  <c r="I9" i="7"/>
  <c r="L9" i="7" s="1"/>
  <c r="M9" i="7"/>
  <c r="E11" i="7"/>
  <c r="J10" i="7"/>
  <c r="F10" i="7"/>
  <c r="H10" i="6"/>
  <c r="K9" i="6"/>
  <c r="I9" i="6"/>
  <c r="L9" i="6" s="1"/>
  <c r="E11" i="6"/>
  <c r="J10" i="6"/>
  <c r="F10" i="6"/>
  <c r="D7" i="1"/>
  <c r="F7" i="5"/>
  <c r="J6" i="5"/>
  <c r="H6" i="5"/>
  <c r="K5" i="5"/>
  <c r="I5" i="5"/>
  <c r="L5" i="5" s="1"/>
  <c r="J4" i="3"/>
  <c r="J6" i="3"/>
  <c r="E6" i="3"/>
  <c r="D6" i="3"/>
  <c r="J11" i="7" l="1"/>
  <c r="F11" i="7"/>
  <c r="H11" i="7"/>
  <c r="K10" i="7"/>
  <c r="M10" i="7" s="1"/>
  <c r="I10" i="7"/>
  <c r="L10" i="7" s="1"/>
  <c r="M9" i="6"/>
  <c r="J11" i="6"/>
  <c r="F11" i="6"/>
  <c r="H11" i="6"/>
  <c r="K10" i="6"/>
  <c r="I10" i="6"/>
  <c r="L10" i="6" s="1"/>
  <c r="H7" i="5"/>
  <c r="K6" i="5"/>
  <c r="I6" i="5"/>
  <c r="L6" i="5" s="1"/>
  <c r="J7" i="5"/>
  <c r="J5" i="3"/>
  <c r="J7" i="3"/>
  <c r="J8" i="3"/>
  <c r="K11" i="7" l="1"/>
  <c r="I11" i="7"/>
  <c r="L11" i="7" s="1"/>
  <c r="M11" i="7"/>
  <c r="M10" i="6"/>
  <c r="K11" i="6"/>
  <c r="I11" i="6"/>
  <c r="L11" i="6" s="1"/>
  <c r="B14" i="6" s="1"/>
  <c r="K7" i="5"/>
  <c r="I7" i="5"/>
  <c r="L7" i="5" s="1"/>
  <c r="M11" i="6" l="1"/>
  <c r="B16" i="6"/>
  <c r="B20" i="6"/>
  <c r="B18" i="6"/>
  <c r="P10" i="7"/>
  <c r="P11" i="7"/>
  <c r="O9" i="7"/>
  <c r="N9" i="7"/>
  <c r="O10" i="7"/>
  <c r="N10" i="7"/>
  <c r="O11" i="7"/>
  <c r="N11" i="7"/>
  <c r="P8" i="7"/>
  <c r="N8" i="7"/>
  <c r="P9" i="7"/>
</calcChain>
</file>

<file path=xl/sharedStrings.xml><?xml version="1.0" encoding="utf-8"?>
<sst xmlns="http://schemas.openxmlformats.org/spreadsheetml/2006/main" count="86" uniqueCount="42">
  <si>
    <t>Intervals of random numbers</t>
  </si>
  <si>
    <t>Time between Patient Arrival</t>
  </si>
  <si>
    <t>Probability</t>
  </si>
  <si>
    <t>Lower Limit</t>
  </si>
  <si>
    <t>Upper limit</t>
  </si>
  <si>
    <t>2A)</t>
  </si>
  <si>
    <t>Time between patient arrival</t>
  </si>
  <si>
    <t>Num of Patients</t>
  </si>
  <si>
    <t>Random Numbers</t>
  </si>
  <si>
    <t>Patient inter arrival time</t>
  </si>
  <si>
    <t>Total=</t>
  </si>
  <si>
    <t>2B)</t>
  </si>
  <si>
    <t>Traige Nurse Time (min)</t>
  </si>
  <si>
    <t>Triage nurse service Time</t>
  </si>
  <si>
    <t>2C)</t>
  </si>
  <si>
    <t>Doctor Service Time</t>
  </si>
  <si>
    <t>Patient</t>
  </si>
  <si>
    <t>Inter Arrival time</t>
  </si>
  <si>
    <t>Arrival Time</t>
  </si>
  <si>
    <t>Triage Nurse Time</t>
  </si>
  <si>
    <t>Triage Start</t>
  </si>
  <si>
    <t>Triage End</t>
  </si>
  <si>
    <t>Doctor Time</t>
  </si>
  <si>
    <t>Doctor Start</t>
  </si>
  <si>
    <t>Doctor End</t>
  </si>
  <si>
    <t>Traige Wait</t>
  </si>
  <si>
    <t>Doctor Wait</t>
  </si>
  <si>
    <t>Total Time (ED)</t>
  </si>
  <si>
    <t>Scenario 2: 1 Nurse 1 Doctor</t>
  </si>
  <si>
    <t>mean</t>
  </si>
  <si>
    <t>standard deviation</t>
  </si>
  <si>
    <t>4A)</t>
  </si>
  <si>
    <t xml:space="preserve">Total Wait Time </t>
  </si>
  <si>
    <t>Average Time in System=</t>
  </si>
  <si>
    <t>Average Waiting Time=</t>
  </si>
  <si>
    <t>Max Time in System=</t>
  </si>
  <si>
    <t>Min Time in System=</t>
  </si>
  <si>
    <t>4B)</t>
  </si>
  <si>
    <t>Scenario 3: 2 Nurse 1 Doctor</t>
  </si>
  <si>
    <t>Assigned Nurse</t>
  </si>
  <si>
    <t>Nurse1_available</t>
  </si>
  <si>
    <t>Nurse2_Available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</si>
</sst>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"/>
  </numFmts>
  <fonts count="9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0"/>
      <color rgb="FF000000"/>
      <name val="Arial"/>
    </font>
    <font>
      <b/>
      <sz val="11"/>
      <color rgb="FF000000"/>
      <name val="Calibri"/>
      <scheme val="minor"/>
    </font>
    <font>
      <sz val="10"/>
      <color rgb="FF000000"/>
      <name val="Arial"/>
      <family val="2"/>
    </font>
    <font>
      <b/>
      <sz val="9"/>
      <color rgb="FF000000"/>
      <name val="Arial"/>
    </font>
    <font>
      <sz val="10"/>
      <color rgb="FF000000"/>
      <name val="Arial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0" fillId="3" borderId="0" xfId="0" applyFill="1"/>
    <xf numFmtId="3" fontId="0" fillId="0" borderId="0" xfId="0" applyNumberFormat="1"/>
    <xf numFmtId="3" fontId="4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3" fontId="0" fillId="4" borderId="0" xfId="0" applyNumberFormat="1" applyFill="1"/>
    <xf numFmtId="0" fontId="5" fillId="2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6" fillId="3" borderId="1" xfId="0" applyFont="1" applyFill="1" applyBorder="1" applyAlignment="1" applyProtection="1">
      <alignment horizontal="left" vertical="center" wrapText="1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3" fontId="6" fillId="3" borderId="1" xfId="0" applyNumberFormat="1" applyFont="1" applyFill="1" applyBorder="1" applyAlignment="1" applyProtection="1">
      <alignment horizontal="left" vertical="center" wrapText="1"/>
      <protection locked="0"/>
    </xf>
    <xf numFmtId="3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0" xfId="0" applyFont="1" applyFill="1"/>
    <xf numFmtId="3" fontId="7" fillId="4" borderId="0" xfId="0" applyNumberFormat="1" applyFont="1" applyFill="1"/>
    <xf numFmtId="0" fontId="0" fillId="4" borderId="0" xfId="0" applyFill="1"/>
    <xf numFmtId="0" fontId="8" fillId="4" borderId="0" xfId="0" applyFont="1" applyFill="1"/>
    <xf numFmtId="0" fontId="7" fillId="4" borderId="0" xfId="0" applyFont="1" applyFill="1"/>
    <xf numFmtId="0" fontId="7" fillId="3" borderId="0" xfId="0" applyFont="1" applyFill="1"/>
    <xf numFmtId="3" fontId="7" fillId="3" borderId="0" xfId="0" applyNumberFormat="1" applyFont="1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8"/>
  <sheetViews>
    <sheetView workbookViewId="0">
      <selection activeCell="G5" sqref="G5"/>
    </sheetView>
  </sheetViews>
  <sheetFormatPr defaultRowHeight="15"/>
  <cols>
    <col min="3" max="3" width="24.140625" customWidth="1"/>
  </cols>
  <sheetData>
    <row r="2" spans="2:5">
      <c r="C2" s="1" t="s">
        <v>0</v>
      </c>
    </row>
    <row r="3" spans="2:5" ht="46.5">
      <c r="B3" s="10" t="s">
        <v>1</v>
      </c>
      <c r="C3" s="11" t="s">
        <v>2</v>
      </c>
      <c r="D3" s="8" t="s">
        <v>3</v>
      </c>
      <c r="E3" s="8" t="s">
        <v>4</v>
      </c>
    </row>
    <row r="4" spans="2:5">
      <c r="B4" s="3">
        <v>1</v>
      </c>
      <c r="C4" s="9">
        <v>0.2</v>
      </c>
      <c r="D4" s="4">
        <v>0</v>
      </c>
      <c r="E4" s="9">
        <f>C4</f>
        <v>0.2</v>
      </c>
    </row>
    <row r="5" spans="2:5">
      <c r="B5" s="3">
        <v>2</v>
      </c>
      <c r="C5" s="9">
        <v>0.4</v>
      </c>
      <c r="D5" s="9">
        <f>E4</f>
        <v>0.2</v>
      </c>
      <c r="E5" s="9">
        <f>E4+C5</f>
        <v>0.60000000000000009</v>
      </c>
    </row>
    <row r="6" spans="2:5">
      <c r="B6" s="3">
        <v>3</v>
      </c>
      <c r="C6" s="9">
        <v>0.3</v>
      </c>
      <c r="D6" s="9">
        <f>E5</f>
        <v>0.60000000000000009</v>
      </c>
      <c r="E6" s="9">
        <f>E5+C6</f>
        <v>0.90000000000000013</v>
      </c>
    </row>
    <row r="7" spans="2:5">
      <c r="B7" s="3">
        <v>4</v>
      </c>
      <c r="C7" s="9">
        <v>0.1</v>
      </c>
      <c r="D7" s="9">
        <f>E6</f>
        <v>0.90000000000000013</v>
      </c>
      <c r="E7" s="4">
        <f>E6+C7</f>
        <v>1.0000000000000002</v>
      </c>
    </row>
    <row r="8" spans="2:5">
      <c r="B8" s="6"/>
      <c r="C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2F1F-CA1A-4E67-8939-CE229216E75F}">
  <dimension ref="A2:K26"/>
  <sheetViews>
    <sheetView workbookViewId="0">
      <selection activeCell="K26" sqref="A1:K26"/>
    </sheetView>
  </sheetViews>
  <sheetFormatPr defaultRowHeight="15"/>
  <sheetData>
    <row r="2" spans="1:11" ht="46.5">
      <c r="A2" t="s">
        <v>5</v>
      </c>
      <c r="B2" s="10" t="s">
        <v>6</v>
      </c>
      <c r="C2" s="16" t="s">
        <v>2</v>
      </c>
      <c r="D2" s="8" t="s">
        <v>3</v>
      </c>
      <c r="E2" s="8" t="s">
        <v>4</v>
      </c>
      <c r="F2" s="8" t="s">
        <v>6</v>
      </c>
      <c r="H2" s="10" t="s">
        <v>7</v>
      </c>
      <c r="I2" s="11" t="s">
        <v>8</v>
      </c>
      <c r="J2" s="8" t="s">
        <v>9</v>
      </c>
      <c r="K2" s="2"/>
    </row>
    <row r="3" spans="1:11">
      <c r="B3" s="3">
        <v>1</v>
      </c>
      <c r="C3" s="9">
        <v>0.2</v>
      </c>
      <c r="D3" s="4">
        <v>0</v>
      </c>
      <c r="E3" s="9">
        <f>C3</f>
        <v>0.2</v>
      </c>
      <c r="F3" s="4">
        <v>1</v>
      </c>
      <c r="H3" s="3">
        <v>1</v>
      </c>
      <c r="I3" s="14">
        <v>0.38129999999999997</v>
      </c>
      <c r="J3" s="4">
        <f>VLOOKUP(I3,$D$3:$F$6,3)</f>
        <v>2</v>
      </c>
      <c r="K3" s="5"/>
    </row>
    <row r="4" spans="1:11">
      <c r="B4" s="3">
        <v>2</v>
      </c>
      <c r="C4" s="9">
        <v>0.4</v>
      </c>
      <c r="D4" s="9">
        <f>E3</f>
        <v>0.2</v>
      </c>
      <c r="E4" s="9">
        <f>E3+C4</f>
        <v>0.60000000000000009</v>
      </c>
      <c r="F4" s="4">
        <v>2</v>
      </c>
      <c r="H4" s="3">
        <v>2</v>
      </c>
      <c r="I4" s="14">
        <v>0.21590000000000001</v>
      </c>
      <c r="J4" s="4">
        <f t="shared" ref="J4:J7" si="0">VLOOKUP(I4,$D$3:$F$6,3)</f>
        <v>2</v>
      </c>
      <c r="K4" s="6"/>
    </row>
    <row r="5" spans="1:11">
      <c r="B5" s="3">
        <v>3</v>
      </c>
      <c r="C5" s="9">
        <v>0.3</v>
      </c>
      <c r="D5" s="9">
        <f>E4</f>
        <v>0.60000000000000009</v>
      </c>
      <c r="E5" s="9">
        <f>E4+C5</f>
        <v>0.90000000000000013</v>
      </c>
      <c r="F5" s="4">
        <v>3</v>
      </c>
      <c r="H5" s="3">
        <v>3</v>
      </c>
      <c r="I5" s="14">
        <v>0.65149999999999997</v>
      </c>
      <c r="J5" s="4">
        <f t="shared" si="0"/>
        <v>3</v>
      </c>
      <c r="K5" s="6"/>
    </row>
    <row r="6" spans="1:11">
      <c r="B6" s="3">
        <v>4</v>
      </c>
      <c r="C6" s="9">
        <v>0.1</v>
      </c>
      <c r="D6" s="9">
        <f>E5</f>
        <v>0.90000000000000013</v>
      </c>
      <c r="E6" s="4">
        <f>E5+C6</f>
        <v>1.0000000000000002</v>
      </c>
      <c r="F6" s="4">
        <v>4</v>
      </c>
      <c r="H6" s="3">
        <v>4</v>
      </c>
      <c r="I6" s="14">
        <v>0.24249999999999999</v>
      </c>
      <c r="J6" s="4">
        <f t="shared" si="0"/>
        <v>2</v>
      </c>
      <c r="K6" s="6"/>
    </row>
    <row r="7" spans="1:11">
      <c r="H7" s="3">
        <v>5</v>
      </c>
      <c r="I7" s="14">
        <v>0.91769999999999996</v>
      </c>
      <c r="J7" s="4">
        <f t="shared" si="0"/>
        <v>4</v>
      </c>
    </row>
    <row r="8" spans="1:11">
      <c r="H8" s="12"/>
      <c r="I8" s="1" t="s">
        <v>10</v>
      </c>
      <c r="J8" s="15">
        <f>SUM(J3:J7)</f>
        <v>13</v>
      </c>
    </row>
    <row r="11" spans="1:11" ht="46.5">
      <c r="A11" t="s">
        <v>11</v>
      </c>
      <c r="B11" s="10" t="s">
        <v>12</v>
      </c>
      <c r="C11" s="16" t="s">
        <v>2</v>
      </c>
      <c r="D11" s="8" t="s">
        <v>3</v>
      </c>
      <c r="E11" s="8" t="s">
        <v>4</v>
      </c>
      <c r="F11" s="8" t="s">
        <v>12</v>
      </c>
      <c r="H11" s="10" t="s">
        <v>7</v>
      </c>
      <c r="I11" s="11" t="s">
        <v>8</v>
      </c>
      <c r="J11" s="8" t="s">
        <v>13</v>
      </c>
      <c r="K11" s="2"/>
    </row>
    <row r="12" spans="1:11">
      <c r="B12" s="3">
        <v>2</v>
      </c>
      <c r="C12" s="13">
        <v>0.2</v>
      </c>
      <c r="D12" s="4">
        <v>0</v>
      </c>
      <c r="E12" s="9">
        <f>C12</f>
        <v>0.2</v>
      </c>
      <c r="F12" s="4">
        <v>2</v>
      </c>
      <c r="H12" s="3">
        <v>1</v>
      </c>
      <c r="I12" s="14">
        <v>0.81659999999999999</v>
      </c>
      <c r="J12" s="4">
        <f>VLOOKUP(I12,$D$12:$F$14,3)</f>
        <v>10</v>
      </c>
      <c r="K12" s="5"/>
    </row>
    <row r="13" spans="1:11">
      <c r="B13" s="3">
        <v>5</v>
      </c>
      <c r="C13" s="13">
        <v>0.6</v>
      </c>
      <c r="D13" s="9">
        <f>E12</f>
        <v>0.2</v>
      </c>
      <c r="E13" s="9">
        <f>E12+C13</f>
        <v>0.8</v>
      </c>
      <c r="F13" s="4">
        <v>5</v>
      </c>
      <c r="H13" s="3">
        <v>2</v>
      </c>
      <c r="I13" s="14">
        <v>0.1033</v>
      </c>
      <c r="J13" s="4">
        <f t="shared" ref="J13:J16" si="1">VLOOKUP(I13,$D$12:$F$14,3)</f>
        <v>2</v>
      </c>
      <c r="K13" s="6"/>
    </row>
    <row r="14" spans="1:11">
      <c r="B14" s="3">
        <v>10</v>
      </c>
      <c r="C14" s="13">
        <v>0.2</v>
      </c>
      <c r="D14" s="9">
        <f>E13</f>
        <v>0.8</v>
      </c>
      <c r="E14" s="4">
        <v>1</v>
      </c>
      <c r="F14" s="4">
        <v>10</v>
      </c>
      <c r="H14" s="3">
        <v>3</v>
      </c>
      <c r="I14" s="14">
        <v>0.46800000000000003</v>
      </c>
      <c r="J14" s="4">
        <f t="shared" si="1"/>
        <v>5</v>
      </c>
      <c r="K14" s="6"/>
    </row>
    <row r="15" spans="1:11">
      <c r="H15" s="3">
        <v>4</v>
      </c>
      <c r="I15" s="14">
        <v>0.95179999999999998</v>
      </c>
      <c r="J15" s="4">
        <f t="shared" si="1"/>
        <v>10</v>
      </c>
      <c r="K15" s="6"/>
    </row>
    <row r="16" spans="1:11">
      <c r="H16" s="3">
        <v>5</v>
      </c>
      <c r="I16" s="14">
        <v>0.78700000000000003</v>
      </c>
      <c r="J16" s="4">
        <f t="shared" si="1"/>
        <v>5</v>
      </c>
    </row>
    <row r="17" spans="1:11">
      <c r="H17" s="12"/>
      <c r="I17" s="1" t="s">
        <v>10</v>
      </c>
      <c r="J17" s="15">
        <f>SUM(J12:J16)</f>
        <v>32</v>
      </c>
    </row>
    <row r="20" spans="1:11" ht="35.25">
      <c r="A20" t="s">
        <v>14</v>
      </c>
      <c r="B20" s="10" t="s">
        <v>15</v>
      </c>
      <c r="C20" s="11" t="s">
        <v>2</v>
      </c>
      <c r="D20" s="8" t="s">
        <v>3</v>
      </c>
      <c r="E20" s="8" t="s">
        <v>4</v>
      </c>
      <c r="F20" s="8" t="s">
        <v>15</v>
      </c>
      <c r="H20" s="10" t="s">
        <v>7</v>
      </c>
      <c r="I20" s="11" t="s">
        <v>8</v>
      </c>
      <c r="J20" s="8" t="s">
        <v>15</v>
      </c>
      <c r="K20" s="2"/>
    </row>
    <row r="21" spans="1:11">
      <c r="B21" s="3">
        <v>13</v>
      </c>
      <c r="C21" s="13">
        <v>0.15</v>
      </c>
      <c r="D21" s="4">
        <v>0</v>
      </c>
      <c r="E21" s="9">
        <f>C21</f>
        <v>0.15</v>
      </c>
      <c r="F21" s="4">
        <v>13</v>
      </c>
      <c r="H21" s="3">
        <v>1</v>
      </c>
      <c r="I21" s="14">
        <v>0.1358</v>
      </c>
      <c r="J21" s="4">
        <f>VLOOKUP(I21,$D$21:$F$23,3)</f>
        <v>13</v>
      </c>
      <c r="K21" s="5"/>
    </row>
    <row r="22" spans="1:11">
      <c r="B22" s="3">
        <v>15</v>
      </c>
      <c r="C22" s="13">
        <v>0.55000000000000004</v>
      </c>
      <c r="D22" s="9">
        <f>E21</f>
        <v>0.15</v>
      </c>
      <c r="E22" s="9">
        <f>E21+C22</f>
        <v>0.70000000000000007</v>
      </c>
      <c r="F22" s="4">
        <v>15</v>
      </c>
      <c r="H22" s="3">
        <v>2</v>
      </c>
      <c r="I22" s="14">
        <v>0.68740000000000001</v>
      </c>
      <c r="J22" s="4">
        <f t="shared" ref="J22:J25" si="2">VLOOKUP(I22,$D$21:$F$23,3)</f>
        <v>15</v>
      </c>
      <c r="K22" s="6"/>
    </row>
    <row r="23" spans="1:11">
      <c r="B23" s="3">
        <v>17</v>
      </c>
      <c r="C23" s="13">
        <v>0.3</v>
      </c>
      <c r="D23" s="9">
        <f>E22</f>
        <v>0.70000000000000007</v>
      </c>
      <c r="E23" s="4">
        <v>1</v>
      </c>
      <c r="F23" s="4">
        <v>17</v>
      </c>
      <c r="H23" s="3">
        <v>3</v>
      </c>
      <c r="I23" s="14">
        <v>0.30559999999999998</v>
      </c>
      <c r="J23" s="4">
        <f t="shared" si="2"/>
        <v>15</v>
      </c>
      <c r="K23" s="6"/>
    </row>
    <row r="24" spans="1:11">
      <c r="H24" s="3">
        <v>4</v>
      </c>
      <c r="I24" s="14">
        <v>0.18260000000000001</v>
      </c>
      <c r="J24" s="4">
        <f t="shared" si="2"/>
        <v>15</v>
      </c>
      <c r="K24" s="6"/>
    </row>
    <row r="25" spans="1:11">
      <c r="H25" s="3">
        <v>5</v>
      </c>
      <c r="I25" s="14">
        <v>0.92900000000000005</v>
      </c>
      <c r="J25" s="4">
        <f t="shared" si="2"/>
        <v>17</v>
      </c>
    </row>
    <row r="26" spans="1:11">
      <c r="H26" s="12"/>
      <c r="I26" s="1" t="s">
        <v>10</v>
      </c>
      <c r="J26" s="15">
        <f>SUM(J21:J25)</f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30BD-E7DF-410D-9E51-32828D822CB0}">
  <dimension ref="A2:L8"/>
  <sheetViews>
    <sheetView workbookViewId="0">
      <selection activeCell="E7" sqref="E7"/>
    </sheetView>
  </sheetViews>
  <sheetFormatPr defaultRowHeight="15"/>
  <sheetData>
    <row r="2" spans="1:12" ht="35.25">
      <c r="A2" s="10" t="s">
        <v>16</v>
      </c>
      <c r="B2" s="10" t="s">
        <v>17</v>
      </c>
      <c r="C2" s="10" t="s">
        <v>18</v>
      </c>
      <c r="D2" s="8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 t="s">
        <v>27</v>
      </c>
    </row>
    <row r="3" spans="1:12">
      <c r="A3" s="3">
        <v>1</v>
      </c>
      <c r="B3" s="18">
        <v>2</v>
      </c>
      <c r="C3" s="18">
        <v>2</v>
      </c>
      <c r="D3" s="4">
        <v>10</v>
      </c>
      <c r="E3" s="19">
        <v>2</v>
      </c>
      <c r="F3" s="20">
        <f>E3+D3</f>
        <v>12</v>
      </c>
      <c r="G3" s="20">
        <v>13</v>
      </c>
      <c r="H3" s="20">
        <f>F3</f>
        <v>12</v>
      </c>
      <c r="I3" s="20">
        <f>H3+G3</f>
        <v>25</v>
      </c>
      <c r="J3" s="20">
        <f>E3-C3</f>
        <v>0</v>
      </c>
      <c r="K3" s="20">
        <f>H3-F3</f>
        <v>0</v>
      </c>
      <c r="L3" s="20">
        <f>I3-C3</f>
        <v>23</v>
      </c>
    </row>
    <row r="4" spans="1:12">
      <c r="A4" s="3">
        <v>2</v>
      </c>
      <c r="B4" s="18">
        <v>2</v>
      </c>
      <c r="C4" s="18">
        <f>B3+B4</f>
        <v>4</v>
      </c>
      <c r="D4" s="4">
        <v>2</v>
      </c>
      <c r="E4" s="21">
        <f>E3+D3</f>
        <v>12</v>
      </c>
      <c r="F4" s="20">
        <f>E4+D4</f>
        <v>14</v>
      </c>
      <c r="G4" s="20">
        <v>15</v>
      </c>
      <c r="H4" s="20">
        <f>H3+G3</f>
        <v>25</v>
      </c>
      <c r="I4" s="20">
        <f>H4+G4</f>
        <v>40</v>
      </c>
      <c r="J4" s="20">
        <f t="shared" ref="J4:J7" si="0">E4-C4</f>
        <v>8</v>
      </c>
      <c r="K4" s="20">
        <f>H4-F4</f>
        <v>11</v>
      </c>
      <c r="L4" s="20">
        <f t="shared" ref="L4:L7" si="1">I4-C4</f>
        <v>36</v>
      </c>
    </row>
    <row r="5" spans="1:12">
      <c r="A5" s="3">
        <v>3</v>
      </c>
      <c r="B5" s="18">
        <v>3</v>
      </c>
      <c r="C5" s="18">
        <f>B5+C4</f>
        <v>7</v>
      </c>
      <c r="D5" s="4">
        <v>5</v>
      </c>
      <c r="E5" s="21">
        <f>E4+D4</f>
        <v>14</v>
      </c>
      <c r="F5" s="20">
        <f>E5+D5</f>
        <v>19</v>
      </c>
      <c r="G5" s="20">
        <v>15</v>
      </c>
      <c r="H5" s="20">
        <f>H4+G4</f>
        <v>40</v>
      </c>
      <c r="I5" s="20">
        <f>H5+G5</f>
        <v>55</v>
      </c>
      <c r="J5" s="20">
        <f t="shared" si="0"/>
        <v>7</v>
      </c>
      <c r="K5" s="20">
        <f t="shared" ref="K4:K7" si="2">H5-F5</f>
        <v>21</v>
      </c>
      <c r="L5" s="20">
        <f t="shared" si="1"/>
        <v>48</v>
      </c>
    </row>
    <row r="6" spans="1:12">
      <c r="A6" s="3">
        <v>4</v>
      </c>
      <c r="B6" s="18">
        <v>2</v>
      </c>
      <c r="C6" s="18">
        <f>B6+C5</f>
        <v>9</v>
      </c>
      <c r="D6" s="4">
        <v>10</v>
      </c>
      <c r="E6" s="21">
        <f>E5+D5</f>
        <v>19</v>
      </c>
      <c r="F6" s="20">
        <f>E6+D6</f>
        <v>29</v>
      </c>
      <c r="G6" s="20">
        <v>15</v>
      </c>
      <c r="H6" s="20">
        <f>H5+G5</f>
        <v>55</v>
      </c>
      <c r="I6" s="20">
        <f>H6+G6</f>
        <v>70</v>
      </c>
      <c r="J6" s="20">
        <f t="shared" si="0"/>
        <v>10</v>
      </c>
      <c r="K6" s="20">
        <f t="shared" si="2"/>
        <v>26</v>
      </c>
      <c r="L6" s="20">
        <f t="shared" si="1"/>
        <v>61</v>
      </c>
    </row>
    <row r="7" spans="1:12">
      <c r="A7" s="3">
        <v>5</v>
      </c>
      <c r="B7" s="18">
        <v>4</v>
      </c>
      <c r="C7" s="18">
        <f>B7+C6</f>
        <v>13</v>
      </c>
      <c r="D7" s="4">
        <v>5</v>
      </c>
      <c r="E7" s="21">
        <f>E6+D6</f>
        <v>29</v>
      </c>
      <c r="F7" s="20">
        <f>E7+D7</f>
        <v>34</v>
      </c>
      <c r="G7" s="20">
        <v>17</v>
      </c>
      <c r="H7" s="20">
        <f>H6+G6</f>
        <v>70</v>
      </c>
      <c r="I7" s="20">
        <f>H7+G7</f>
        <v>87</v>
      </c>
      <c r="J7" s="20">
        <f t="shared" si="0"/>
        <v>16</v>
      </c>
      <c r="K7" s="20">
        <f t="shared" si="2"/>
        <v>36</v>
      </c>
      <c r="L7" s="20">
        <f t="shared" si="1"/>
        <v>74</v>
      </c>
    </row>
    <row r="8" spans="1:12">
      <c r="A8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B919-5E6C-4FCC-B38F-216427B7ABBB}">
  <dimension ref="A1:M22"/>
  <sheetViews>
    <sheetView workbookViewId="0">
      <selection activeCell="F26" sqref="F26"/>
    </sheetView>
  </sheetViews>
  <sheetFormatPr defaultRowHeight="15"/>
  <cols>
    <col min="1" max="1" width="22.7109375" bestFit="1" customWidth="1"/>
    <col min="2" max="2" width="26.140625" bestFit="1" customWidth="1"/>
    <col min="3" max="3" width="15.140625" bestFit="1" customWidth="1"/>
    <col min="4" max="4" width="20" bestFit="1" customWidth="1"/>
  </cols>
  <sheetData>
    <row r="1" spans="1:13">
      <c r="B1" t="s">
        <v>28</v>
      </c>
      <c r="D1" t="s">
        <v>29</v>
      </c>
      <c r="E1">
        <f>4</f>
        <v>4</v>
      </c>
    </row>
    <row r="2" spans="1:13">
      <c r="D2" t="s">
        <v>30</v>
      </c>
      <c r="E2">
        <f>15</f>
        <v>15</v>
      </c>
    </row>
    <row r="3" spans="1:13">
      <c r="A3" t="s">
        <v>31</v>
      </c>
    </row>
    <row r="6" spans="1:13" ht="35.25">
      <c r="A6" s="10" t="s">
        <v>16</v>
      </c>
      <c r="B6" s="10" t="s">
        <v>17</v>
      </c>
      <c r="C6" s="10" t="s">
        <v>18</v>
      </c>
      <c r="D6" s="8" t="s">
        <v>19</v>
      </c>
      <c r="E6" s="10" t="s">
        <v>20</v>
      </c>
      <c r="F6" s="10" t="s">
        <v>21</v>
      </c>
      <c r="G6" s="10" t="s">
        <v>22</v>
      </c>
      <c r="H6" s="10" t="s">
        <v>23</v>
      </c>
      <c r="I6" s="10" t="s">
        <v>24</v>
      </c>
      <c r="J6" s="10" t="s">
        <v>25</v>
      </c>
      <c r="K6" s="10" t="s">
        <v>26</v>
      </c>
      <c r="L6" s="10" t="s">
        <v>27</v>
      </c>
      <c r="M6" s="10" t="s">
        <v>32</v>
      </c>
    </row>
    <row r="7" spans="1:13">
      <c r="A7" s="3">
        <v>1</v>
      </c>
      <c r="B7" s="18">
        <v>2</v>
      </c>
      <c r="C7" s="18">
        <v>2</v>
      </c>
      <c r="D7" s="4">
        <v>10</v>
      </c>
      <c r="E7" s="19">
        <v>2</v>
      </c>
      <c r="F7" s="20">
        <f>E7+D7</f>
        <v>12</v>
      </c>
      <c r="G7" s="20">
        <v>18</v>
      </c>
      <c r="H7" s="20">
        <f>F7</f>
        <v>12</v>
      </c>
      <c r="I7" s="20">
        <f>H7+G7</f>
        <v>30</v>
      </c>
      <c r="J7" s="20">
        <f>E7-C7</f>
        <v>0</v>
      </c>
      <c r="K7" s="20">
        <f>H7-F7</f>
        <v>0</v>
      </c>
      <c r="L7" s="20">
        <f>I7-C7</f>
        <v>28</v>
      </c>
      <c r="M7" s="20">
        <v>0</v>
      </c>
    </row>
    <row r="8" spans="1:13">
      <c r="A8" s="3">
        <v>2</v>
      </c>
      <c r="B8" s="18">
        <v>2</v>
      </c>
      <c r="C8" s="18">
        <f>B7+B8</f>
        <v>4</v>
      </c>
      <c r="D8" s="4">
        <v>2</v>
      </c>
      <c r="E8" s="21">
        <f>E7+D7</f>
        <v>12</v>
      </c>
      <c r="F8" s="20">
        <f>E8+D8</f>
        <v>14</v>
      </c>
      <c r="G8" s="20">
        <v>14</v>
      </c>
      <c r="H8" s="20">
        <f>H7+G7</f>
        <v>30</v>
      </c>
      <c r="I8" s="20">
        <f>H8+G8</f>
        <v>44</v>
      </c>
      <c r="J8" s="20">
        <f>E8-C8</f>
        <v>8</v>
      </c>
      <c r="K8" s="20">
        <f>H8-F8</f>
        <v>16</v>
      </c>
      <c r="L8" s="20">
        <f t="shared" ref="L8:L11" si="0">I8-C8</f>
        <v>40</v>
      </c>
      <c r="M8" s="20">
        <f>J8+K8</f>
        <v>24</v>
      </c>
    </row>
    <row r="9" spans="1:13">
      <c r="A9" s="3">
        <v>3</v>
      </c>
      <c r="B9" s="18">
        <v>3</v>
      </c>
      <c r="C9" s="18">
        <f>B9+C8</f>
        <v>7</v>
      </c>
      <c r="D9" s="4">
        <v>5</v>
      </c>
      <c r="E9" s="21">
        <f>E8+D8</f>
        <v>14</v>
      </c>
      <c r="F9" s="20">
        <f>E9+D9</f>
        <v>19</v>
      </c>
      <c r="G9" s="20">
        <v>21</v>
      </c>
      <c r="H9" s="20">
        <f>H8+G8</f>
        <v>44</v>
      </c>
      <c r="I9" s="20">
        <f>H9+G9</f>
        <v>65</v>
      </c>
      <c r="J9" s="20">
        <f t="shared" ref="J9:J11" si="1">E9-C9</f>
        <v>7</v>
      </c>
      <c r="K9" s="20">
        <f t="shared" ref="K9:K11" si="2">H9-F9</f>
        <v>25</v>
      </c>
      <c r="L9" s="20">
        <f t="shared" si="0"/>
        <v>58</v>
      </c>
      <c r="M9" s="20">
        <f>J9+K9</f>
        <v>32</v>
      </c>
    </row>
    <row r="10" spans="1:13">
      <c r="A10" s="3">
        <v>4</v>
      </c>
      <c r="B10" s="18">
        <v>2</v>
      </c>
      <c r="C10" s="18">
        <f>B10+C9</f>
        <v>9</v>
      </c>
      <c r="D10" s="4">
        <v>10</v>
      </c>
      <c r="E10" s="21">
        <f>E9+D9</f>
        <v>19</v>
      </c>
      <c r="F10" s="20">
        <f>E10+D10</f>
        <v>29</v>
      </c>
      <c r="G10" s="20">
        <v>20</v>
      </c>
      <c r="H10" s="20">
        <f>H9+G9</f>
        <v>65</v>
      </c>
      <c r="I10" s="20">
        <f>H10+G10</f>
        <v>85</v>
      </c>
      <c r="J10" s="20">
        <f t="shared" si="1"/>
        <v>10</v>
      </c>
      <c r="K10" s="20">
        <f t="shared" si="2"/>
        <v>36</v>
      </c>
      <c r="L10" s="20">
        <f t="shared" si="0"/>
        <v>76</v>
      </c>
      <c r="M10" s="20">
        <f>J10+K10</f>
        <v>46</v>
      </c>
    </row>
    <row r="11" spans="1:13">
      <c r="A11" s="3">
        <v>5</v>
      </c>
      <c r="B11" s="18">
        <v>4</v>
      </c>
      <c r="C11" s="18">
        <f>B11+C10</f>
        <v>13</v>
      </c>
      <c r="D11" s="4">
        <v>5</v>
      </c>
      <c r="E11" s="21">
        <f>E10+D10</f>
        <v>29</v>
      </c>
      <c r="F11" s="20">
        <f>E11+D11</f>
        <v>34</v>
      </c>
      <c r="G11" s="20">
        <v>16</v>
      </c>
      <c r="H11" s="20">
        <f>H10+G10</f>
        <v>85</v>
      </c>
      <c r="I11" s="20">
        <f>H11+G11</f>
        <v>101</v>
      </c>
      <c r="J11" s="20">
        <f t="shared" si="1"/>
        <v>16</v>
      </c>
      <c r="K11" s="20">
        <f t="shared" si="2"/>
        <v>51</v>
      </c>
      <c r="L11" s="20">
        <f>I11-C11</f>
        <v>88</v>
      </c>
      <c r="M11" s="20">
        <f>J11+K11</f>
        <v>67</v>
      </c>
    </row>
    <row r="14" spans="1:13">
      <c r="A14" s="22" t="s">
        <v>33</v>
      </c>
      <c r="B14" s="23">
        <f>AVERAGE(L7:L11)</f>
        <v>58</v>
      </c>
      <c r="C14" s="24"/>
    </row>
    <row r="15" spans="1:13">
      <c r="A15" s="24"/>
      <c r="B15" s="24"/>
      <c r="C15" s="24"/>
    </row>
    <row r="16" spans="1:13">
      <c r="A16" s="25" t="s">
        <v>34</v>
      </c>
      <c r="B16" s="23">
        <f>AVERAGE(K7:K11)</f>
        <v>25.6</v>
      </c>
      <c r="C16" s="24"/>
    </row>
    <row r="17" spans="1:3">
      <c r="A17" s="24"/>
      <c r="B17" s="15"/>
      <c r="C17" s="24"/>
    </row>
    <row r="18" spans="1:3">
      <c r="A18" s="26" t="s">
        <v>35</v>
      </c>
      <c r="B18" s="23">
        <f>MAX(L7:L11)</f>
        <v>88</v>
      </c>
      <c r="C18" s="24"/>
    </row>
    <row r="19" spans="1:3">
      <c r="A19" s="24"/>
      <c r="B19" s="15"/>
      <c r="C19" s="24"/>
    </row>
    <row r="20" spans="1:3">
      <c r="A20" s="26" t="s">
        <v>36</v>
      </c>
      <c r="B20" s="23">
        <f>MIN(L7:L11)</f>
        <v>28</v>
      </c>
      <c r="C20" s="24"/>
    </row>
    <row r="21" spans="1:3">
      <c r="A21" s="5"/>
      <c r="B21" s="29"/>
      <c r="C21" s="5"/>
    </row>
    <row r="22" spans="1:3">
      <c r="A22" s="27"/>
      <c r="B22" s="28"/>
      <c r="C22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B826-FC9A-4D6F-B196-BDD740F2566F}">
  <dimension ref="A2:P11"/>
  <sheetViews>
    <sheetView tabSelected="1" workbookViewId="0">
      <selection activeCell="P9" sqref="P9:P11"/>
    </sheetView>
  </sheetViews>
  <sheetFormatPr defaultRowHeight="15"/>
  <sheetData>
    <row r="2" spans="1:16">
      <c r="A2" s="5" t="s">
        <v>37</v>
      </c>
      <c r="B2" s="5" t="s">
        <v>38</v>
      </c>
      <c r="C2" s="5"/>
    </row>
    <row r="3" spans="1:16">
      <c r="A3" s="27"/>
      <c r="B3" s="28"/>
      <c r="C3" s="27"/>
    </row>
    <row r="6" spans="1:16" ht="35.25">
      <c r="A6" s="10" t="s">
        <v>16</v>
      </c>
      <c r="B6" s="10" t="s">
        <v>17</v>
      </c>
      <c r="C6" s="10" t="s">
        <v>18</v>
      </c>
      <c r="D6" s="8" t="s">
        <v>19</v>
      </c>
      <c r="E6" s="10" t="s">
        <v>20</v>
      </c>
      <c r="F6" s="10" t="s">
        <v>21</v>
      </c>
      <c r="G6" s="10" t="s">
        <v>22</v>
      </c>
      <c r="H6" s="10" t="s">
        <v>23</v>
      </c>
      <c r="I6" s="10" t="s">
        <v>24</v>
      </c>
      <c r="J6" s="10" t="s">
        <v>25</v>
      </c>
      <c r="K6" s="10" t="s">
        <v>26</v>
      </c>
      <c r="L6" s="10" t="s">
        <v>27</v>
      </c>
      <c r="M6" s="10" t="s">
        <v>32</v>
      </c>
      <c r="N6" s="10" t="s">
        <v>39</v>
      </c>
      <c r="O6" s="10" t="s">
        <v>40</v>
      </c>
      <c r="P6" s="10" t="s">
        <v>41</v>
      </c>
    </row>
    <row r="7" spans="1:16" ht="46.5">
      <c r="A7" s="3">
        <v>1</v>
      </c>
      <c r="B7" s="18">
        <v>2</v>
      </c>
      <c r="C7" s="18">
        <v>2</v>
      </c>
      <c r="D7" s="4">
        <v>10</v>
      </c>
      <c r="E7" s="19">
        <f>MAX(C7,IF(N7="Nurse1",O7,P7))</f>
        <v>2</v>
      </c>
      <c r="F7" s="20">
        <f>E7+D7</f>
        <v>12</v>
      </c>
      <c r="G7" s="20">
        <v>18</v>
      </c>
      <c r="H7" s="20">
        <f>F7</f>
        <v>12</v>
      </c>
      <c r="I7" s="20">
        <f>H7+G7</f>
        <v>30</v>
      </c>
      <c r="J7" s="20">
        <f>E7-C7</f>
        <v>0</v>
      </c>
      <c r="K7" s="20">
        <f>H7-F7</f>
        <v>0</v>
      </c>
      <c r="L7" s="20">
        <f>I7-C7</f>
        <v>28</v>
      </c>
      <c r="M7" s="20">
        <v>0</v>
      </c>
      <c r="N7" s="20" t="str">
        <f>IF(O7&lt;=P7,"Nurse1","Nurse2")</f>
        <v>Nurse1</v>
      </c>
      <c r="O7" s="20">
        <v>0</v>
      </c>
      <c r="P7" s="20">
        <v>0</v>
      </c>
    </row>
    <row r="8" spans="1:16">
      <c r="A8" s="3">
        <v>2</v>
      </c>
      <c r="B8" s="18">
        <v>2</v>
      </c>
      <c r="C8" s="18">
        <f>B7+B8</f>
        <v>4</v>
      </c>
      <c r="D8" s="4">
        <v>2</v>
      </c>
      <c r="E8" s="21">
        <f>E7+D7</f>
        <v>12</v>
      </c>
      <c r="F8" s="20">
        <f>E8+D8</f>
        <v>14</v>
      </c>
      <c r="G8" s="20">
        <v>14</v>
      </c>
      <c r="H8" s="20">
        <f>H7+G7</f>
        <v>30</v>
      </c>
      <c r="I8" s="20">
        <f>H8+G8</f>
        <v>44</v>
      </c>
      <c r="J8" s="20">
        <f>E8-C8</f>
        <v>8</v>
      </c>
      <c r="K8" s="20">
        <f>H8-F8</f>
        <v>16</v>
      </c>
      <c r="L8" s="20">
        <f t="shared" ref="L8:L11" si="0">I8-C8</f>
        <v>40</v>
      </c>
      <c r="M8" s="20">
        <f>J8+K8</f>
        <v>24</v>
      </c>
      <c r="N8" s="20" t="str">
        <f t="shared" ref="N8:N11" ca="1" si="1">IF(O8&lt;=P8,"Nurse 1","Nurse 2")</f>
        <v>Nurse 2</v>
      </c>
      <c r="O8" s="20">
        <f>IF(N7="Nurse1",F7,O7)</f>
        <v>12</v>
      </c>
      <c r="P8" s="20">
        <f ca="1">IF(N8="Nurse2",F7,P8)</f>
        <v>0</v>
      </c>
    </row>
    <row r="9" spans="1:16">
      <c r="A9" s="3">
        <v>3</v>
      </c>
      <c r="B9" s="18">
        <v>3</v>
      </c>
      <c r="C9" s="18">
        <f>B9+C8</f>
        <v>7</v>
      </c>
      <c r="D9" s="4">
        <v>5</v>
      </c>
      <c r="E9" s="21">
        <f>E8+D8</f>
        <v>14</v>
      </c>
      <c r="F9" s="20">
        <f>E9+D9</f>
        <v>19</v>
      </c>
      <c r="G9" s="20">
        <v>21</v>
      </c>
      <c r="H9" s="20">
        <f>H8+G8</f>
        <v>44</v>
      </c>
      <c r="I9" s="20">
        <f>H9+G9</f>
        <v>65</v>
      </c>
      <c r="J9" s="20">
        <f t="shared" ref="J9:J11" si="2">E9-C9</f>
        <v>7</v>
      </c>
      <c r="K9" s="20">
        <f t="shared" ref="K9:K11" si="3">H9-F9</f>
        <v>25</v>
      </c>
      <c r="L9" s="20">
        <f t="shared" si="0"/>
        <v>58</v>
      </c>
      <c r="M9" s="20">
        <f>J9+K9</f>
        <v>32</v>
      </c>
      <c r="N9" s="20" t="str">
        <f t="shared" ca="1" si="1"/>
        <v>Nurse 2</v>
      </c>
      <c r="O9" s="20">
        <f t="shared" ref="O9:O11" ca="1" si="4">IF(N8="Nurse1",F8,O8)</f>
        <v>12</v>
      </c>
      <c r="P9" s="20">
        <f ca="1">IF(N8="Nurse 2",F8,P8)</f>
        <v>0</v>
      </c>
    </row>
    <row r="10" spans="1:16">
      <c r="A10" s="3">
        <v>4</v>
      </c>
      <c r="B10" s="18">
        <v>2</v>
      </c>
      <c r="C10" s="18">
        <f>B10+C9</f>
        <v>9</v>
      </c>
      <c r="D10" s="4">
        <v>10</v>
      </c>
      <c r="E10" s="21">
        <f>E9+D9</f>
        <v>19</v>
      </c>
      <c r="F10" s="20">
        <f>E10+D10</f>
        <v>29</v>
      </c>
      <c r="G10" s="20">
        <v>20</v>
      </c>
      <c r="H10" s="20">
        <f>H9+G9</f>
        <v>65</v>
      </c>
      <c r="I10" s="20">
        <f>H10+G10</f>
        <v>85</v>
      </c>
      <c r="J10" s="20">
        <f t="shared" si="2"/>
        <v>10</v>
      </c>
      <c r="K10" s="20">
        <f t="shared" si="3"/>
        <v>36</v>
      </c>
      <c r="L10" s="20">
        <f t="shared" si="0"/>
        <v>76</v>
      </c>
      <c r="M10" s="20">
        <f>J10+K10</f>
        <v>46</v>
      </c>
      <c r="N10" s="20" t="str">
        <f t="shared" ca="1" si="1"/>
        <v>Nurse 2</v>
      </c>
      <c r="O10" s="20">
        <f t="shared" ca="1" si="4"/>
        <v>12</v>
      </c>
      <c r="P10" s="20">
        <f t="shared" ref="P10:P11" ca="1" si="5">IF(N9="Nurse 2",F9,P9)</f>
        <v>0</v>
      </c>
    </row>
    <row r="11" spans="1:16">
      <c r="A11" s="3">
        <v>5</v>
      </c>
      <c r="B11" s="18">
        <v>4</v>
      </c>
      <c r="C11" s="18">
        <f>B11+C10</f>
        <v>13</v>
      </c>
      <c r="D11" s="4">
        <v>5</v>
      </c>
      <c r="E11" s="21">
        <f>E10+D10</f>
        <v>29</v>
      </c>
      <c r="F11" s="20">
        <f>E11+D11</f>
        <v>34</v>
      </c>
      <c r="G11" s="20">
        <v>16</v>
      </c>
      <c r="H11" s="20">
        <f>H10+G10</f>
        <v>85</v>
      </c>
      <c r="I11" s="20">
        <f>H11+G11</f>
        <v>101</v>
      </c>
      <c r="J11" s="20">
        <f t="shared" si="2"/>
        <v>16</v>
      </c>
      <c r="K11" s="20">
        <f t="shared" si="3"/>
        <v>51</v>
      </c>
      <c r="L11" s="20">
        <f>I11-C11</f>
        <v>88</v>
      </c>
      <c r="M11" s="20">
        <f>J11+K11</f>
        <v>67</v>
      </c>
      <c r="N11" s="20" t="str">
        <f t="shared" ca="1" si="1"/>
        <v>Nurse 2</v>
      </c>
      <c r="O11" s="20">
        <f t="shared" ca="1" si="4"/>
        <v>12</v>
      </c>
      <c r="P11" s="20">
        <f t="shared" ca="1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2025-04-12T18:50:49Z</dcterms:created>
  <dcterms:modified xsi:type="dcterms:W3CDTF">2025-04-15T03:43:59Z</dcterms:modified>
  <cp:category/>
  <cp:contentStatus/>
</cp:coreProperties>
</file>