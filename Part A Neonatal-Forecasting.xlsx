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alma\courses\Undergrad modules\5BUIS019W Business Analytics_ex5BUIS002W\Assessments\Coursework\main cwk 2024 2025\"/>
    </mc:Choice>
  </mc:AlternateContent>
  <xr:revisionPtr revIDLastSave="0" documentId="8_{F7ECD48A-D03F-4F73-B2C9-22CC6F21411E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 Question 1" sheetId="1" r:id="rId1"/>
    <sheet name="Question 2" sheetId="5" r:id="rId2"/>
    <sheet name="Question 4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5" l="1"/>
  <c r="C43" i="5"/>
  <c r="E39" i="5"/>
  <c r="E4" i="5"/>
  <c r="D4" i="5"/>
  <c r="D3" i="5"/>
  <c r="D43" i="5"/>
  <c r="E43" i="5"/>
  <c r="G43" i="5"/>
  <c r="I43" i="5"/>
  <c r="K43" i="5"/>
  <c r="C44" i="5"/>
  <c r="D44" i="5"/>
  <c r="E44" i="5"/>
  <c r="G44" i="5"/>
  <c r="I44" i="5"/>
  <c r="K44" i="5"/>
  <c r="C45" i="5"/>
  <c r="D45" i="5"/>
  <c r="E45" i="5"/>
  <c r="G45" i="5"/>
  <c r="I45" i="5"/>
  <c r="K45" i="5"/>
  <c r="C46" i="5"/>
  <c r="D46" i="5"/>
  <c r="E46" i="5"/>
  <c r="G46" i="5"/>
  <c r="I46" i="5"/>
  <c r="K46" i="5"/>
  <c r="C47" i="5"/>
  <c r="D47" i="5"/>
  <c r="E47" i="5"/>
  <c r="G47" i="5"/>
  <c r="I47" i="5"/>
  <c r="K47" i="5"/>
  <c r="C48" i="5"/>
  <c r="D48" i="5"/>
  <c r="E48" i="5"/>
  <c r="G48" i="5"/>
  <c r="I48" i="5"/>
  <c r="K48" i="5"/>
  <c r="C49" i="5"/>
  <c r="D49" i="5"/>
  <c r="E49" i="5"/>
  <c r="G49" i="5"/>
  <c r="I49" i="5"/>
  <c r="K49" i="5"/>
  <c r="C50" i="5"/>
  <c r="D50" i="5"/>
  <c r="E50" i="5"/>
  <c r="G50" i="5"/>
  <c r="I50" i="5"/>
  <c r="K50" i="5"/>
  <c r="C51" i="5"/>
  <c r="D51" i="5"/>
  <c r="E51" i="5"/>
  <c r="G51" i="5"/>
  <c r="I51" i="5"/>
  <c r="K51" i="5"/>
  <c r="C52" i="5"/>
  <c r="D52" i="5"/>
  <c r="E52" i="5"/>
  <c r="G52" i="5"/>
  <c r="I52" i="5"/>
  <c r="K52" i="5"/>
  <c r="C53" i="5"/>
  <c r="D53" i="5"/>
  <c r="E53" i="5"/>
  <c r="G53" i="5"/>
  <c r="I53" i="5"/>
  <c r="K53" i="5"/>
  <c r="C54" i="5"/>
  <c r="D54" i="5"/>
  <c r="E54" i="5"/>
  <c r="G54" i="5"/>
  <c r="I54" i="5"/>
  <c r="K54" i="5"/>
  <c r="C55" i="5"/>
  <c r="D55" i="5"/>
  <c r="E55" i="5"/>
  <c r="G55" i="5"/>
  <c r="I55" i="5"/>
  <c r="K55" i="5"/>
  <c r="C56" i="5"/>
  <c r="D56" i="5"/>
  <c r="E56" i="5"/>
  <c r="G56" i="5"/>
  <c r="I56" i="5"/>
  <c r="K56" i="5"/>
  <c r="C57" i="5"/>
  <c r="D57" i="5"/>
  <c r="E57" i="5"/>
  <c r="G57" i="5"/>
  <c r="I57" i="5"/>
  <c r="K57" i="5"/>
  <c r="E19" i="5"/>
  <c r="I26" i="5"/>
  <c r="I39" i="5" a="1"/>
  <c r="I39" i="5" s="1"/>
  <c r="I38" i="5"/>
  <c r="I37" i="5"/>
  <c r="I36" i="5"/>
  <c r="I35" i="5"/>
  <c r="I34" i="5"/>
  <c r="I33" i="5"/>
  <c r="I32" i="5"/>
  <c r="I31" i="5"/>
  <c r="I30" i="5"/>
  <c r="I29" i="5"/>
  <c r="I28" i="5"/>
  <c r="I27" i="5"/>
  <c r="G26" i="5"/>
  <c r="G38" i="5"/>
  <c r="G37" i="5"/>
  <c r="G36" i="5"/>
  <c r="G35" i="5"/>
  <c r="G34" i="5"/>
  <c r="G33" i="5"/>
  <c r="G32" i="5"/>
  <c r="G31" i="5"/>
  <c r="G30" i="5"/>
  <c r="G29" i="5"/>
  <c r="G28" i="5"/>
  <c r="G27" i="5"/>
  <c r="G39" i="5" s="1"/>
  <c r="D26" i="5"/>
  <c r="E26" i="5" s="1"/>
  <c r="D38" i="5"/>
  <c r="E38" i="5" s="1"/>
  <c r="D37" i="5"/>
  <c r="E37" i="5" s="1"/>
  <c r="D36" i="5"/>
  <c r="E36" i="5" s="1"/>
  <c r="D35" i="5"/>
  <c r="E35" i="5" s="1"/>
  <c r="D34" i="5"/>
  <c r="E34" i="5" s="1"/>
  <c r="D33" i="5"/>
  <c r="E33" i="5" s="1"/>
  <c r="D32" i="5"/>
  <c r="E32" i="5" s="1"/>
  <c r="D31" i="5"/>
  <c r="E31" i="5" s="1"/>
  <c r="D30" i="5"/>
  <c r="E30" i="5" s="1"/>
  <c r="D29" i="5"/>
  <c r="E29" i="5" s="1"/>
  <c r="D28" i="5"/>
  <c r="E28" i="5" s="1"/>
  <c r="D27" i="5"/>
  <c r="E27" i="5" s="1"/>
  <c r="I19" i="5" a="1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G3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19" i="5"/>
  <c r="E3" i="5"/>
  <c r="D18" i="5"/>
  <c r="E18" i="5" s="1"/>
  <c r="D17" i="5"/>
  <c r="E17" i="5" s="1"/>
  <c r="D16" i="5"/>
  <c r="E16" i="5" s="1"/>
  <c r="D15" i="5"/>
  <c r="E15" i="5" s="1"/>
  <c r="D14" i="5"/>
  <c r="E14" i="5" s="1"/>
  <c r="D13" i="5"/>
  <c r="E13" i="5" s="1"/>
  <c r="D12" i="5"/>
  <c r="E12" i="5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C58" i="5" l="1"/>
  <c r="K58" i="5" l="1"/>
  <c r="E59" i="5"/>
  <c r="I59" i="5" a="1"/>
  <c r="I59" i="5" s="1"/>
  <c r="I58" i="5"/>
  <c r="G58" i="5"/>
  <c r="G59" i="5" s="1"/>
  <c r="D58" i="5"/>
  <c r="E5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<sst xmlns="http://schemas.openxmlformats.org/spreadsheetml/2006/main" count="151" uniqueCount="83">
  <si>
    <t>Neonatal  care</t>
  </si>
  <si>
    <t>Year</t>
  </si>
  <si>
    <t>Intensive Care</t>
  </si>
  <si>
    <t>High Dependency</t>
  </si>
  <si>
    <t>Special Care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</si>
  <si>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</si>
  <si>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</si>
  <si>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</si>
  <si>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</si>
  <si>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</si>
  <si>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</si>
  <si>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</si>
  <si>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</si>
  <si>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</si>
  <si>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</si>
  <si>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</si>
  <si>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</si>
  <si>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</si>
  <si>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</si>
  <si>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</si>
  <si>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</si>
  <si>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</si>
  <si>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 xml:space="preserve">Data Source: https://opendata.scot/datasets/public+health+scotland-births+in+scotland/ </t>
  </si>
  <si>
    <t xml:space="preserve"> Naive Method Forecast</t>
  </si>
  <si>
    <t>Forecast Error</t>
  </si>
  <si>
    <t>Squared Forecast Error</t>
  </si>
  <si>
    <t>Absolute Error Forecast</t>
  </si>
  <si>
    <t xml:space="preserve"> APE (%) - Naive Method</t>
  </si>
  <si>
    <t>MSE=</t>
  </si>
  <si>
    <t xml:space="preserve"> MAD=</t>
  </si>
  <si>
    <t>MAPE=</t>
  </si>
  <si>
    <t>4 Period MA Forecast</t>
  </si>
  <si>
    <t>APE (%)-4 Period MA</t>
  </si>
  <si>
    <t>Compare all three Forecasting methods</t>
  </si>
  <si>
    <t>MAD=</t>
  </si>
  <si>
    <t>Methods</t>
  </si>
  <si>
    <t>MSE</t>
  </si>
  <si>
    <t>MAD</t>
  </si>
  <si>
    <t>MAPE</t>
  </si>
  <si>
    <t>Naive method</t>
  </si>
  <si>
    <t>ES Forecast</t>
  </si>
  <si>
    <t>APE(%)- ES</t>
  </si>
  <si>
    <t>Forecast Error/Actual</t>
  </si>
  <si>
    <t>Alpha (a) = 0.73</t>
  </si>
  <si>
    <t>4 Period MA</t>
  </si>
  <si>
    <t xml:space="preserve">ES </t>
  </si>
  <si>
    <t>Financial year 2023/2024 (Scotland)</t>
  </si>
  <si>
    <t>Council</t>
  </si>
  <si>
    <t>mothers smoking</t>
  </si>
  <si>
    <t>gestational age &lt; 37 weeks</t>
  </si>
  <si>
    <t>Clackmannanshire</t>
  </si>
  <si>
    <t>Dumfries and Galloway</t>
  </si>
  <si>
    <t>East Ayrshire</t>
  </si>
  <si>
    <t>East Lothian</t>
  </si>
  <si>
    <t>East Renfrewshire</t>
  </si>
  <si>
    <t>Na h-Eileanan Siar</t>
  </si>
  <si>
    <t>Falkirk</t>
  </si>
  <si>
    <t>Highland</t>
  </si>
  <si>
    <t>Inverclyde</t>
  </si>
  <si>
    <t>Midlothian</t>
  </si>
  <si>
    <t>Moray</t>
  </si>
  <si>
    <t>North Ayrshire</t>
  </si>
  <si>
    <t>Orkney Islands</t>
  </si>
  <si>
    <t>Scottish Borders</t>
  </si>
  <si>
    <t>Shetland Islands</t>
  </si>
  <si>
    <t>South Ayrshire</t>
  </si>
  <si>
    <t>South Lanarkshire</t>
  </si>
  <si>
    <t>Stirling</t>
  </si>
  <si>
    <t>Aberdeen City</t>
  </si>
  <si>
    <t>Aberdeenshire</t>
  </si>
  <si>
    <t>Argyll and Bute</t>
  </si>
  <si>
    <t>City of Edinburgh</t>
  </si>
  <si>
    <t>Renfrewshire</t>
  </si>
  <si>
    <t>West Dunbartonshire</t>
  </si>
  <si>
    <t>West Lothian</t>
  </si>
  <si>
    <t>Angus</t>
  </si>
  <si>
    <t>Dundee City</t>
  </si>
  <si>
    <t>East Dunbartonshire</t>
  </si>
  <si>
    <t>Fife</t>
  </si>
  <si>
    <t>Perth and Kinross</t>
  </si>
  <si>
    <t>Glasgow City</t>
  </si>
  <si>
    <t>North Lanarkshire</t>
  </si>
  <si>
    <t>Data Source: https://www.opendata.nhs.scot/dataset/births-in-scottish-hospitals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</si>
</sst>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ourie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scheme val="minor"/>
    </font>
    <font>
      <b/>
      <sz val="10"/>
      <color rgb="FF000000"/>
      <name val="Arial"/>
    </font>
    <font>
      <b/>
      <sz val="11"/>
      <color rgb="FF000000"/>
      <name val="Calibri"/>
      <charset val="1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6">
    <xf numFmtId="0" fontId="0" fillId="0" borderId="0" xfId="0"/>
    <xf numFmtId="3" fontId="0" fillId="0" borderId="0" xfId="0" applyNumberFormat="1"/>
    <xf numFmtId="0" fontId="3" fillId="0" borderId="0" xfId="0" applyFont="1"/>
    <xf numFmtId="0" fontId="5" fillId="0" borderId="1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7" fillId="0" borderId="0" xfId="0" applyFont="1" applyAlignment="1">
      <alignment horizontal="left"/>
    </xf>
    <xf numFmtId="0" fontId="6" fillId="0" borderId="0" xfId="0" applyFont="1"/>
    <xf numFmtId="0" fontId="3" fillId="0" borderId="1" xfId="0" applyFont="1" applyBorder="1"/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wrapText="1"/>
    </xf>
    <xf numFmtId="0" fontId="0" fillId="2" borderId="0" xfId="0" applyFill="1"/>
    <xf numFmtId="0" fontId="9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 wrapText="1"/>
    </xf>
    <xf numFmtId="0" fontId="0" fillId="2" borderId="0" xfId="0" applyFill="1" applyAlignment="1">
      <alignment wrapText="1"/>
    </xf>
    <xf numFmtId="0" fontId="6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vertical="center"/>
    </xf>
    <xf numFmtId="0" fontId="8" fillId="3" borderId="0" xfId="0" applyFont="1" applyFill="1"/>
    <xf numFmtId="0" fontId="0" fillId="3" borderId="0" xfId="0" applyFill="1"/>
    <xf numFmtId="0" fontId="8" fillId="4" borderId="0" xfId="0" applyFont="1" applyFill="1"/>
    <xf numFmtId="0" fontId="0" fillId="4" borderId="0" xfId="0" applyFill="1"/>
    <xf numFmtId="3" fontId="0" fillId="4" borderId="0" xfId="0" applyNumberFormat="1" applyFill="1"/>
    <xf numFmtId="3" fontId="6" fillId="0" borderId="1" xfId="0" applyNumberFormat="1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/>
    </xf>
    <xf numFmtId="3" fontId="0" fillId="5" borderId="0" xfId="0" applyNumberFormat="1" applyFill="1" applyAlignment="1">
      <alignment wrapText="1"/>
    </xf>
    <xf numFmtId="0" fontId="8" fillId="5" borderId="0" xfId="0" applyFont="1" applyFill="1"/>
    <xf numFmtId="0" fontId="0" fillId="5" borderId="0" xfId="0" applyFill="1" applyAlignment="1">
      <alignment horizontal="center"/>
    </xf>
    <xf numFmtId="0" fontId="10" fillId="3" borderId="0" xfId="0" applyFont="1" applyFill="1"/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1" fillId="0" borderId="5" xfId="0" applyFont="1" applyBorder="1" applyAlignment="1">
      <alignment horizontal="center" vertical="center"/>
    </xf>
    <xf numFmtId="0" fontId="0" fillId="7" borderId="0" xfId="0" applyFill="1"/>
    <xf numFmtId="3" fontId="6" fillId="6" borderId="6" xfId="0" applyNumberFormat="1" applyFont="1" applyFill="1" applyBorder="1" applyAlignment="1">
      <alignment horizontal="right" vertical="center"/>
    </xf>
    <xf numFmtId="3" fontId="6" fillId="6" borderId="1" xfId="0" applyNumberFormat="1" applyFont="1" applyFill="1" applyBorder="1" applyAlignment="1">
      <alignment horizontal="right" vertical="center" wrapText="1"/>
    </xf>
    <xf numFmtId="3" fontId="6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left" vertical="center"/>
    </xf>
    <xf numFmtId="0" fontId="0" fillId="5" borderId="0" xfId="0" applyFill="1" applyAlignment="1">
      <alignment wrapText="1"/>
    </xf>
    <xf numFmtId="0" fontId="0" fillId="8" borderId="0" xfId="0" applyFill="1"/>
    <xf numFmtId="0" fontId="9" fillId="0" borderId="1" xfId="0" applyFont="1" applyBorder="1" applyAlignment="1">
      <alignment horizontal="right" vertical="center" wrapText="1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8" fillId="2" borderId="0" xfId="0" applyFont="1" applyFill="1"/>
    <xf numFmtId="0" fontId="12" fillId="2" borderId="0" xfId="0" applyFont="1" applyFill="1"/>
    <xf numFmtId="0" fontId="0" fillId="3" borderId="0" xfId="0" applyFill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Question 1'!$B$2</c:f>
              <c:strCache>
                <c:ptCount val="1"/>
                <c:pt idx="0">
                  <c:v>Intensive 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 Question 1'!$A$3:$A$19</c:f>
              <c:strCache>
                <c:ptCount val="17"/>
                <c:pt idx="0">
                  <c:v>2007/08</c:v>
                </c:pt>
                <c:pt idx="1">
                  <c:v>2008/09</c:v>
                </c:pt>
                <c:pt idx="2">
                  <c:v>2009/10</c:v>
                </c:pt>
                <c:pt idx="3">
                  <c:v>2010/11</c:v>
                </c:pt>
                <c:pt idx="4">
                  <c:v>2011/12</c:v>
                </c:pt>
                <c:pt idx="5">
                  <c:v>2012/13</c:v>
                </c:pt>
                <c:pt idx="6">
                  <c:v>2013/14</c:v>
                </c:pt>
                <c:pt idx="7">
                  <c:v>2014/15</c:v>
                </c:pt>
                <c:pt idx="8">
                  <c:v>2015/16</c:v>
                </c:pt>
                <c:pt idx="9">
                  <c:v>2016/17</c:v>
                </c:pt>
                <c:pt idx="10">
                  <c:v>2017/18</c:v>
                </c:pt>
                <c:pt idx="11">
                  <c:v>2018/19</c:v>
                </c:pt>
                <c:pt idx="12">
                  <c:v>2019/20</c:v>
                </c:pt>
                <c:pt idx="13">
                  <c:v>2020/21</c:v>
                </c:pt>
                <c:pt idx="14">
                  <c:v>2021/22</c:v>
                </c:pt>
                <c:pt idx="15">
                  <c:v>2022/23</c:v>
                </c:pt>
                <c:pt idx="16">
                  <c:v>2023/24</c:v>
                </c:pt>
              </c:strCache>
            </c:strRef>
          </c:cat>
          <c:val>
            <c:numRef>
              <c:f>' Question 1'!$B$3:$B$19</c:f>
              <c:numCache>
                <c:formatCode>#,##0</c:formatCode>
                <c:ptCount val="17"/>
                <c:pt idx="0">
                  <c:v>830</c:v>
                </c:pt>
                <c:pt idx="1">
                  <c:v>858</c:v>
                </c:pt>
                <c:pt idx="2">
                  <c:v>910</c:v>
                </c:pt>
                <c:pt idx="3">
                  <c:v>936</c:v>
                </c:pt>
                <c:pt idx="4">
                  <c:v>1192</c:v>
                </c:pt>
                <c:pt idx="5">
                  <c:v>1213</c:v>
                </c:pt>
                <c:pt idx="6">
                  <c:v>1394</c:v>
                </c:pt>
                <c:pt idx="7">
                  <c:v>1555</c:v>
                </c:pt>
                <c:pt idx="8">
                  <c:v>1544</c:v>
                </c:pt>
                <c:pt idx="9">
                  <c:v>1447</c:v>
                </c:pt>
                <c:pt idx="10">
                  <c:v>1391</c:v>
                </c:pt>
                <c:pt idx="11">
                  <c:v>1316</c:v>
                </c:pt>
                <c:pt idx="12" formatCode="General">
                  <c:v>1106</c:v>
                </c:pt>
                <c:pt idx="13" formatCode="General">
                  <c:v>1079</c:v>
                </c:pt>
                <c:pt idx="14" formatCode="General">
                  <c:v>940</c:v>
                </c:pt>
                <c:pt idx="15" formatCode="General">
                  <c:v>858</c:v>
                </c:pt>
                <c:pt idx="16" formatCode="General">
                  <c:v>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7A-451B-9B98-C7073A84B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420871"/>
        <c:axId val="136435207"/>
      </c:lineChart>
      <c:catAx>
        <c:axId val="136420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35207"/>
        <c:crosses val="autoZero"/>
        <c:auto val="1"/>
        <c:lblAlgn val="ctr"/>
        <c:lblOffset val="100"/>
        <c:noMultiLvlLbl val="0"/>
      </c:catAx>
      <c:valAx>
        <c:axId val="136435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20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 Question 1'!$C$2</c:f>
              <c:strCache>
                <c:ptCount val="1"/>
                <c:pt idx="0">
                  <c:v>High Dependency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 Question 1'!$A$3:$A$19</c:f>
              <c:strCache>
                <c:ptCount val="17"/>
                <c:pt idx="0">
                  <c:v>2007/08</c:v>
                </c:pt>
                <c:pt idx="1">
                  <c:v>2008/09</c:v>
                </c:pt>
                <c:pt idx="2">
                  <c:v>2009/10</c:v>
                </c:pt>
                <c:pt idx="3">
                  <c:v>2010/11</c:v>
                </c:pt>
                <c:pt idx="4">
                  <c:v>2011/12</c:v>
                </c:pt>
                <c:pt idx="5">
                  <c:v>2012/13</c:v>
                </c:pt>
                <c:pt idx="6">
                  <c:v>2013/14</c:v>
                </c:pt>
                <c:pt idx="7">
                  <c:v>2014/15</c:v>
                </c:pt>
                <c:pt idx="8">
                  <c:v>2015/16</c:v>
                </c:pt>
                <c:pt idx="9">
                  <c:v>2016/17</c:v>
                </c:pt>
                <c:pt idx="10">
                  <c:v>2017/18</c:v>
                </c:pt>
                <c:pt idx="11">
                  <c:v>2018/19</c:v>
                </c:pt>
                <c:pt idx="12">
                  <c:v>2019/20</c:v>
                </c:pt>
                <c:pt idx="13">
                  <c:v>2020/21</c:v>
                </c:pt>
                <c:pt idx="14">
                  <c:v>2021/22</c:v>
                </c:pt>
                <c:pt idx="15">
                  <c:v>2022/23</c:v>
                </c:pt>
                <c:pt idx="16">
                  <c:v>2023/24</c:v>
                </c:pt>
              </c:strCache>
            </c:strRef>
          </c:cat>
          <c:val>
            <c:numRef>
              <c:f>' Question 1'!$C$3:$C$19</c:f>
              <c:numCache>
                <c:formatCode>#,##0</c:formatCode>
                <c:ptCount val="17"/>
                <c:pt idx="0">
                  <c:v>605</c:v>
                </c:pt>
                <c:pt idx="1">
                  <c:v>581</c:v>
                </c:pt>
                <c:pt idx="2">
                  <c:v>538</c:v>
                </c:pt>
                <c:pt idx="3">
                  <c:v>625</c:v>
                </c:pt>
                <c:pt idx="4">
                  <c:v>772</c:v>
                </c:pt>
                <c:pt idx="5">
                  <c:v>705</c:v>
                </c:pt>
                <c:pt idx="6">
                  <c:v>591</c:v>
                </c:pt>
                <c:pt idx="7">
                  <c:v>703</c:v>
                </c:pt>
                <c:pt idx="8">
                  <c:v>937</c:v>
                </c:pt>
                <c:pt idx="9">
                  <c:v>998</c:v>
                </c:pt>
                <c:pt idx="10">
                  <c:v>1014</c:v>
                </c:pt>
                <c:pt idx="11">
                  <c:v>1107</c:v>
                </c:pt>
                <c:pt idx="12" formatCode="General">
                  <c:v>1080</c:v>
                </c:pt>
                <c:pt idx="13" formatCode="General">
                  <c:v>997</c:v>
                </c:pt>
                <c:pt idx="14" formatCode="General">
                  <c:v>1042</c:v>
                </c:pt>
                <c:pt idx="15" formatCode="General">
                  <c:v>1132</c:v>
                </c:pt>
                <c:pt idx="16" formatCode="General">
                  <c:v>1272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D8-4426-90CA-33C8E97B0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095752"/>
        <c:axId val="1624110088"/>
      </c:lineChart>
      <c:catAx>
        <c:axId val="1624095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10088"/>
        <c:crosses val="autoZero"/>
        <c:auto val="1"/>
        <c:lblAlgn val="ctr"/>
        <c:lblOffset val="100"/>
        <c:noMultiLvlLbl val="0"/>
      </c:catAx>
      <c:valAx>
        <c:axId val="162411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095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 Question 1'!$D$2</c:f>
              <c:strCache>
                <c:ptCount val="1"/>
                <c:pt idx="0">
                  <c:v>Special Care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 Question 1'!$A$3:$A$19</c:f>
              <c:strCache>
                <c:ptCount val="17"/>
                <c:pt idx="0">
                  <c:v>2007/08</c:v>
                </c:pt>
                <c:pt idx="1">
                  <c:v>2008/09</c:v>
                </c:pt>
                <c:pt idx="2">
                  <c:v>2009/10</c:v>
                </c:pt>
                <c:pt idx="3">
                  <c:v>2010/11</c:v>
                </c:pt>
                <c:pt idx="4">
                  <c:v>2011/12</c:v>
                </c:pt>
                <c:pt idx="5">
                  <c:v>2012/13</c:v>
                </c:pt>
                <c:pt idx="6">
                  <c:v>2013/14</c:v>
                </c:pt>
                <c:pt idx="7">
                  <c:v>2014/15</c:v>
                </c:pt>
                <c:pt idx="8">
                  <c:v>2015/16</c:v>
                </c:pt>
                <c:pt idx="9">
                  <c:v>2016/17</c:v>
                </c:pt>
                <c:pt idx="10">
                  <c:v>2017/18</c:v>
                </c:pt>
                <c:pt idx="11">
                  <c:v>2018/19</c:v>
                </c:pt>
                <c:pt idx="12">
                  <c:v>2019/20</c:v>
                </c:pt>
                <c:pt idx="13">
                  <c:v>2020/21</c:v>
                </c:pt>
                <c:pt idx="14">
                  <c:v>2021/22</c:v>
                </c:pt>
                <c:pt idx="15">
                  <c:v>2022/23</c:v>
                </c:pt>
                <c:pt idx="16">
                  <c:v>2023/24</c:v>
                </c:pt>
              </c:strCache>
            </c:strRef>
          </c:cat>
          <c:val>
            <c:numRef>
              <c:f>' Question 1'!$D$3:$D$19</c:f>
              <c:numCache>
                <c:formatCode>#,##0</c:formatCode>
                <c:ptCount val="17"/>
                <c:pt idx="0">
                  <c:v>4755</c:v>
                </c:pt>
                <c:pt idx="1">
                  <c:v>4758</c:v>
                </c:pt>
                <c:pt idx="2">
                  <c:v>4596</c:v>
                </c:pt>
                <c:pt idx="3">
                  <c:v>3992</c:v>
                </c:pt>
                <c:pt idx="4">
                  <c:v>4763</c:v>
                </c:pt>
                <c:pt idx="5">
                  <c:v>4525</c:v>
                </c:pt>
                <c:pt idx="6">
                  <c:v>3945</c:v>
                </c:pt>
                <c:pt idx="7">
                  <c:v>3652</c:v>
                </c:pt>
                <c:pt idx="8">
                  <c:v>3944</c:v>
                </c:pt>
                <c:pt idx="9">
                  <c:v>3619</c:v>
                </c:pt>
                <c:pt idx="10">
                  <c:v>3359</c:v>
                </c:pt>
                <c:pt idx="11">
                  <c:v>3132</c:v>
                </c:pt>
                <c:pt idx="12" formatCode="General">
                  <c:v>2854</c:v>
                </c:pt>
                <c:pt idx="13" formatCode="General">
                  <c:v>2095</c:v>
                </c:pt>
                <c:pt idx="14" formatCode="General">
                  <c:v>2316</c:v>
                </c:pt>
                <c:pt idx="15" formatCode="General">
                  <c:v>1985</c:v>
                </c:pt>
                <c:pt idx="16" formatCode="General">
                  <c:v>2340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BA9-4156-8CEB-794EF7835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752968"/>
        <c:axId val="1731755016"/>
      </c:lineChart>
      <c:catAx>
        <c:axId val="1731752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755016"/>
        <c:crosses val="autoZero"/>
        <c:auto val="1"/>
        <c:lblAlgn val="ctr"/>
        <c:lblOffset val="100"/>
        <c:noMultiLvlLbl val="0"/>
      </c:catAx>
      <c:valAx>
        <c:axId val="1731755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752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Mothers Smoking and Premature Births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'Question 4'!C3</c:f>
              <c:strCache>
                <c:ptCount val="1"/>
                <c:pt idx="0">
                  <c:v>gestational age &lt; 37 weeks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D2D2D2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Pt>
            <c:idx val="30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B580-4218-A1A9-9ECA684A35E7}"/>
              </c:ext>
            </c:extLst>
          </c:dPt>
          <c:trendline>
            <c:spPr>
              <a:ln w="19050" cap="rnd">
                <a:solidFill>
                  <a:srgbClr val="D2D2D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'Question 4'!$B$4:$B$35</c:f>
              <c:numCache>
                <c:formatCode>General</c:formatCode>
                <c:ptCount val="32"/>
                <c:pt idx="0">
                  <c:v>71</c:v>
                </c:pt>
                <c:pt idx="1">
                  <c:v>189</c:v>
                </c:pt>
                <c:pt idx="2">
                  <c:v>167</c:v>
                </c:pt>
                <c:pt idx="3">
                  <c:v>81</c:v>
                </c:pt>
                <c:pt idx="4">
                  <c:v>37</c:v>
                </c:pt>
                <c:pt idx="5">
                  <c:v>20</c:v>
                </c:pt>
                <c:pt idx="6">
                  <c:v>189</c:v>
                </c:pt>
                <c:pt idx="7">
                  <c:v>216</c:v>
                </c:pt>
                <c:pt idx="8">
                  <c:v>75</c:v>
                </c:pt>
                <c:pt idx="9">
                  <c:v>106</c:v>
                </c:pt>
                <c:pt idx="10">
                  <c:v>105</c:v>
                </c:pt>
                <c:pt idx="11">
                  <c:v>141</c:v>
                </c:pt>
                <c:pt idx="12">
                  <c:v>7</c:v>
                </c:pt>
                <c:pt idx="13">
                  <c:v>69</c:v>
                </c:pt>
                <c:pt idx="14">
                  <c:v>8</c:v>
                </c:pt>
                <c:pt idx="15">
                  <c:v>110</c:v>
                </c:pt>
                <c:pt idx="16">
                  <c:v>247</c:v>
                </c:pt>
                <c:pt idx="17">
                  <c:v>69</c:v>
                </c:pt>
                <c:pt idx="18">
                  <c:v>200</c:v>
                </c:pt>
                <c:pt idx="19">
                  <c:v>188</c:v>
                </c:pt>
                <c:pt idx="20">
                  <c:v>55</c:v>
                </c:pt>
                <c:pt idx="21">
                  <c:v>269</c:v>
                </c:pt>
                <c:pt idx="22">
                  <c:v>158</c:v>
                </c:pt>
                <c:pt idx="23">
                  <c:v>103</c:v>
                </c:pt>
                <c:pt idx="24">
                  <c:v>203</c:v>
                </c:pt>
                <c:pt idx="25">
                  <c:v>118</c:v>
                </c:pt>
                <c:pt idx="26">
                  <c:v>223</c:v>
                </c:pt>
                <c:pt idx="27">
                  <c:v>34</c:v>
                </c:pt>
                <c:pt idx="28">
                  <c:v>392</c:v>
                </c:pt>
                <c:pt idx="29">
                  <c:v>139</c:v>
                </c:pt>
                <c:pt idx="30">
                  <c:v>512</c:v>
                </c:pt>
                <c:pt idx="31">
                  <c:v>364</c:v>
                </c:pt>
              </c:numCache>
            </c:numRef>
          </c:xVal>
          <c:yVal>
            <c:numRef>
              <c:f>'Question 4'!$C$4:$C$35</c:f>
              <c:numCache>
                <c:formatCode>General</c:formatCode>
                <c:ptCount val="32"/>
                <c:pt idx="0">
                  <c:v>34</c:v>
                </c:pt>
                <c:pt idx="1">
                  <c:v>76</c:v>
                </c:pt>
                <c:pt idx="2">
                  <c:v>78</c:v>
                </c:pt>
                <c:pt idx="3">
                  <c:v>29</c:v>
                </c:pt>
                <c:pt idx="4">
                  <c:v>35</c:v>
                </c:pt>
                <c:pt idx="5">
                  <c:v>12</c:v>
                </c:pt>
                <c:pt idx="6">
                  <c:v>109</c:v>
                </c:pt>
                <c:pt idx="7">
                  <c:v>135</c:v>
                </c:pt>
                <c:pt idx="8">
                  <c:v>54</c:v>
                </c:pt>
                <c:pt idx="9">
                  <c:v>49</c:v>
                </c:pt>
                <c:pt idx="10">
                  <c:v>51</c:v>
                </c:pt>
                <c:pt idx="11">
                  <c:v>73</c:v>
                </c:pt>
                <c:pt idx="12">
                  <c:v>9</c:v>
                </c:pt>
                <c:pt idx="13">
                  <c:v>41</c:v>
                </c:pt>
                <c:pt idx="14">
                  <c:v>8</c:v>
                </c:pt>
                <c:pt idx="15">
                  <c:v>52</c:v>
                </c:pt>
                <c:pt idx="16">
                  <c:v>183</c:v>
                </c:pt>
                <c:pt idx="17">
                  <c:v>39</c:v>
                </c:pt>
                <c:pt idx="18">
                  <c:v>120</c:v>
                </c:pt>
                <c:pt idx="19">
                  <c:v>156</c:v>
                </c:pt>
                <c:pt idx="20">
                  <c:v>43</c:v>
                </c:pt>
                <c:pt idx="21">
                  <c:v>179</c:v>
                </c:pt>
                <c:pt idx="22">
                  <c:v>132</c:v>
                </c:pt>
                <c:pt idx="23">
                  <c:v>53</c:v>
                </c:pt>
                <c:pt idx="24">
                  <c:v>83</c:v>
                </c:pt>
                <c:pt idx="25">
                  <c:v>43</c:v>
                </c:pt>
                <c:pt idx="26">
                  <c:v>118</c:v>
                </c:pt>
                <c:pt idx="27">
                  <c:v>46</c:v>
                </c:pt>
                <c:pt idx="28">
                  <c:v>172</c:v>
                </c:pt>
                <c:pt idx="29">
                  <c:v>86</c:v>
                </c:pt>
                <c:pt idx="30">
                  <c:v>421</c:v>
                </c:pt>
                <c:pt idx="31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3F478B0F-DE79-4F84-A74D-11D904427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706504"/>
        <c:axId val="53532168"/>
      </c:scatterChart>
      <c:valAx>
        <c:axId val="35370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mothers smoking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32168"/>
        <c:crosses val="autoZero"/>
        <c:crossBetween val="midCat"/>
      </c:valAx>
      <c:valAx>
        <c:axId val="5353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gestational age &lt; 37 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706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1</xdr:row>
      <xdr:rowOff>19050</xdr:rowOff>
    </xdr:from>
    <xdr:to>
      <xdr:col>6</xdr:col>
      <xdr:colOff>1724025</xdr:colOff>
      <xdr:row>11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814E84-D351-5695-DD47-7775DA61F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1866900</xdr:colOff>
      <xdr:row>1</xdr:row>
      <xdr:rowOff>47625</xdr:rowOff>
    </xdr:from>
    <xdr:to>
      <xdr:col>9</xdr:col>
      <xdr:colOff>76200</xdr:colOff>
      <xdr:row>10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BA61EB-BF91-8A45-CAC0-6F0BEE08D790}"/>
            </a:ext>
            <a:ext uri="{147F2762-F138-4A5C-976F-8EAC2B608ADB}">
              <a16:predDERef xmlns:a16="http://schemas.microsoft.com/office/drawing/2014/main" pred="{28814E84-D351-5695-DD47-7775DA61F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561975</xdr:colOff>
      <xdr:row>11</xdr:row>
      <xdr:rowOff>171450</xdr:rowOff>
    </xdr:from>
    <xdr:to>
      <xdr:col>7</xdr:col>
      <xdr:colOff>1781175</xdr:colOff>
      <xdr:row>22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12FB59-7A91-6C52-A375-256EEEFCFEBE}"/>
            </a:ext>
            <a:ext uri="{147F2762-F138-4A5C-976F-8EAC2B608ADB}">
              <a16:predDERef xmlns:a16="http://schemas.microsoft.com/office/drawing/2014/main" pred="{13BA61EB-BF91-8A45-CAC0-6F0BEE08D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1</xdr:row>
      <xdr:rowOff>161925</xdr:rowOff>
    </xdr:from>
    <xdr:to>
      <xdr:col>6</xdr:col>
      <xdr:colOff>752475</xdr:colOff>
      <xdr:row>15</xdr:row>
      <xdr:rowOff>104775</xdr:rowOff>
    </xdr:to>
    <xdr:graphicFrame macro="">
      <xdr:nvGraphicFramePr>
        <xdr:cNvPr id="4" name="Chart 3" descr="Chart type: Scatter. Field: 'mothers smoking' and Field: 'gestational age &lt; 37 weeks' appear highly correlated with 1 outlier.&#10;&#10;Description automatically generated">
          <a:extLst>
            <a:ext uri="{FF2B5EF4-FFF2-40B4-BE49-F238E27FC236}">
              <a16:creationId xmlns:a16="http://schemas.microsoft.com/office/drawing/2014/main" id="{282545C7-A17B-C5AB-8EA9-FE7A1ECC2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1514475</xdr:colOff>
      <xdr:row>4</xdr:row>
      <xdr:rowOff>142875</xdr:rowOff>
    </xdr:from>
    <xdr:to>
      <xdr:col>5</xdr:col>
      <xdr:colOff>2133600</xdr:colOff>
      <xdr:row>6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3BB906F-26A5-F160-87D8-A7BEF260CEE6}"/>
            </a:ext>
            <a:ext uri="{147F2762-F138-4A5C-976F-8EAC2B608ADB}">
              <a16:predDERef xmlns:a16="http://schemas.microsoft.com/office/drawing/2014/main" pred="{282545C7-A17B-C5AB-8EA9-FE7A1ECC2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57950" y="1133475"/>
          <a:ext cx="619125" cy="219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F18" sqref="F18"/>
    </sheetView>
  </sheetViews>
  <sheetFormatPr defaultRowHeight="15" customHeight="1"/>
  <cols>
    <col min="3" max="3" width="11.42578125" customWidth="1"/>
    <col min="5" max="5" width="18.42578125" customWidth="1"/>
    <col min="6" max="6" width="36.5703125" bestFit="1" customWidth="1"/>
    <col min="7" max="7" width="34.7109375" bestFit="1" customWidth="1"/>
    <col min="8" max="8" width="36.42578125" bestFit="1" customWidth="1"/>
  </cols>
  <sheetData>
    <row r="1" spans="1:8">
      <c r="A1" s="2"/>
      <c r="B1" s="53" t="s">
        <v>0</v>
      </c>
      <c r="C1" s="54"/>
      <c r="D1" s="55"/>
    </row>
    <row r="2" spans="1:8" ht="23.25">
      <c r="A2" s="3" t="s">
        <v>1</v>
      </c>
      <c r="B2" s="4" t="s">
        <v>2</v>
      </c>
      <c r="C2" s="4" t="s">
        <v>3</v>
      </c>
      <c r="D2" s="4" t="s">
        <v>4</v>
      </c>
      <c r="E2" s="15"/>
      <c r="F2" s="15"/>
      <c r="G2" s="14"/>
      <c r="H2" s="14"/>
    </row>
    <row r="3" spans="1:8">
      <c r="A3" s="5" t="s">
        <v>5</v>
      </c>
      <c r="B3" s="6">
        <v>830</v>
      </c>
      <c r="C3" s="6">
        <v>605</v>
      </c>
      <c r="D3" s="6">
        <v>4755</v>
      </c>
      <c r="E3" s="16"/>
      <c r="F3" s="16"/>
      <c r="G3" s="16"/>
    </row>
    <row r="4" spans="1:8">
      <c r="A4" s="5" t="s">
        <v>6</v>
      </c>
      <c r="B4" s="6">
        <v>858</v>
      </c>
      <c r="C4" s="6">
        <v>581</v>
      </c>
      <c r="D4" s="6">
        <v>4758</v>
      </c>
      <c r="E4" s="1"/>
      <c r="G4" s="1"/>
    </row>
    <row r="5" spans="1:8">
      <c r="A5" s="5" t="s">
        <v>7</v>
      </c>
      <c r="B5" s="6">
        <v>910</v>
      </c>
      <c r="C5" s="6">
        <v>538</v>
      </c>
      <c r="D5" s="6">
        <v>4596</v>
      </c>
      <c r="E5" s="1"/>
      <c r="F5" s="1"/>
      <c r="G5" s="1"/>
    </row>
    <row r="6" spans="1:8">
      <c r="A6" s="5" t="s">
        <v>8</v>
      </c>
      <c r="B6" s="6">
        <v>936</v>
      </c>
      <c r="C6" s="6">
        <v>625</v>
      </c>
      <c r="D6" s="6">
        <v>3992</v>
      </c>
      <c r="E6" s="1"/>
      <c r="F6" s="1"/>
      <c r="G6" s="1"/>
    </row>
    <row r="7" spans="1:8">
      <c r="A7" s="5" t="s">
        <v>9</v>
      </c>
      <c r="B7" s="6">
        <v>1192</v>
      </c>
      <c r="C7" s="6">
        <v>772</v>
      </c>
      <c r="D7" s="6">
        <v>4763</v>
      </c>
      <c r="E7" s="1"/>
      <c r="F7" s="1"/>
      <c r="G7" s="1"/>
    </row>
    <row r="8" spans="1:8">
      <c r="A8" s="5" t="s">
        <v>10</v>
      </c>
      <c r="B8" s="6">
        <v>1213</v>
      </c>
      <c r="C8" s="6">
        <v>705</v>
      </c>
      <c r="D8" s="6">
        <v>4525</v>
      </c>
      <c r="E8" s="1"/>
      <c r="F8" s="1"/>
      <c r="G8" s="1"/>
    </row>
    <row r="9" spans="1:8">
      <c r="A9" s="5" t="s">
        <v>11</v>
      </c>
      <c r="B9" s="6">
        <v>1394</v>
      </c>
      <c r="C9" s="6">
        <v>591</v>
      </c>
      <c r="D9" s="6">
        <v>3945</v>
      </c>
      <c r="E9" s="1"/>
      <c r="F9" s="1"/>
      <c r="G9" s="1"/>
    </row>
    <row r="10" spans="1:8">
      <c r="A10" s="5" t="s">
        <v>12</v>
      </c>
      <c r="B10" s="6">
        <v>1555</v>
      </c>
      <c r="C10" s="6">
        <v>703</v>
      </c>
      <c r="D10" s="6">
        <v>3652</v>
      </c>
      <c r="E10" s="1"/>
      <c r="F10" s="1"/>
      <c r="G10" s="1"/>
    </row>
    <row r="11" spans="1:8">
      <c r="A11" s="5" t="s">
        <v>13</v>
      </c>
      <c r="B11" s="6">
        <v>1544</v>
      </c>
      <c r="C11" s="6">
        <v>937</v>
      </c>
      <c r="D11" s="6">
        <v>3944</v>
      </c>
      <c r="E11" s="1"/>
      <c r="F11" s="1"/>
      <c r="G11" s="1"/>
    </row>
    <row r="12" spans="1:8">
      <c r="A12" s="5" t="s">
        <v>14</v>
      </c>
      <c r="B12" s="6">
        <v>1447</v>
      </c>
      <c r="C12" s="6">
        <v>998</v>
      </c>
      <c r="D12" s="6">
        <v>3619</v>
      </c>
      <c r="E12" s="1"/>
      <c r="F12" s="1"/>
      <c r="G12" s="1"/>
    </row>
    <row r="13" spans="1:8">
      <c r="A13" s="5" t="s">
        <v>15</v>
      </c>
      <c r="B13" s="6">
        <v>1391</v>
      </c>
      <c r="C13" s="6">
        <v>1014</v>
      </c>
      <c r="D13" s="6">
        <v>3359</v>
      </c>
      <c r="E13" s="1"/>
      <c r="F13" s="1"/>
      <c r="G13" s="1"/>
    </row>
    <row r="14" spans="1:8">
      <c r="A14" s="5" t="s">
        <v>16</v>
      </c>
      <c r="B14" s="6">
        <v>1316</v>
      </c>
      <c r="C14" s="6">
        <v>1107</v>
      </c>
      <c r="D14" s="6">
        <v>3132</v>
      </c>
      <c r="E14" s="1"/>
      <c r="F14" s="1"/>
      <c r="G14" s="1"/>
    </row>
    <row r="15" spans="1:8">
      <c r="A15" s="7" t="s">
        <v>17</v>
      </c>
      <c r="B15" s="7">
        <v>1106</v>
      </c>
      <c r="C15" s="7">
        <v>1080</v>
      </c>
      <c r="D15" s="7">
        <v>2854</v>
      </c>
      <c r="E15" s="1"/>
      <c r="F15" s="1"/>
      <c r="G15" s="1"/>
    </row>
    <row r="16" spans="1:8">
      <c r="A16" s="7" t="s">
        <v>18</v>
      </c>
      <c r="B16" s="7">
        <v>1079</v>
      </c>
      <c r="C16" s="7">
        <v>997</v>
      </c>
      <c r="D16" s="7">
        <v>2095</v>
      </c>
      <c r="E16" s="1"/>
      <c r="F16" s="1"/>
      <c r="G16" s="1"/>
    </row>
    <row r="17" spans="1:4">
      <c r="A17" s="7" t="s">
        <v>19</v>
      </c>
      <c r="B17" s="7">
        <v>940</v>
      </c>
      <c r="C17" s="7">
        <v>1042</v>
      </c>
      <c r="D17" s="7">
        <v>2316</v>
      </c>
    </row>
    <row r="18" spans="1:4">
      <c r="A18" s="7" t="s">
        <v>20</v>
      </c>
      <c r="B18" s="7">
        <v>858</v>
      </c>
      <c r="C18" s="7">
        <v>1132</v>
      </c>
      <c r="D18" s="7">
        <v>1985</v>
      </c>
    </row>
    <row r="19" spans="1:4">
      <c r="A19" s="7" t="s">
        <v>21</v>
      </c>
      <c r="B19" s="7">
        <v>814</v>
      </c>
      <c r="C19" s="7">
        <v>1272</v>
      </c>
      <c r="D19" s="7">
        <v>2340</v>
      </c>
    </row>
    <row r="20" spans="1:4"/>
    <row r="21" spans="1:4">
      <c r="A21" t="s">
        <v>22</v>
      </c>
    </row>
    <row r="22" spans="1:4"/>
    <row r="23" spans="1:4"/>
    <row r="24" spans="1:4"/>
    <row r="25" spans="1:4"/>
  </sheetData>
  <mergeCells count="1">
    <mergeCell ref="B1:D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684D-FA0E-46AF-B9D2-3C93FB461827}">
  <dimension ref="A1:R59"/>
  <sheetViews>
    <sheetView tabSelected="1" topLeftCell="A18" workbookViewId="0">
      <selection activeCell="F29" sqref="F29"/>
    </sheetView>
  </sheetViews>
  <sheetFormatPr defaultRowHeight="15"/>
  <cols>
    <col min="2" max="2" width="19.42578125" bestFit="1" customWidth="1"/>
    <col min="3" max="3" width="25.140625" bestFit="1" customWidth="1"/>
    <col min="4" max="4" width="21.140625" bestFit="1" customWidth="1"/>
    <col min="5" max="5" width="26.28515625" bestFit="1" customWidth="1"/>
    <col min="7" max="7" width="27.85546875" bestFit="1" customWidth="1"/>
    <col min="9" max="9" width="36.5703125" bestFit="1" customWidth="1"/>
    <col min="11" max="11" width="20" bestFit="1" customWidth="1"/>
    <col min="12" max="12" width="14.5703125" bestFit="1" customWidth="1"/>
    <col min="14" max="14" width="35.85546875" bestFit="1" customWidth="1"/>
  </cols>
  <sheetData>
    <row r="1" spans="1:9">
      <c r="A1" s="51" t="s">
        <v>1</v>
      </c>
      <c r="B1" s="50" t="s">
        <v>4</v>
      </c>
      <c r="C1" s="52" t="s">
        <v>23</v>
      </c>
      <c r="D1" s="52" t="s">
        <v>24</v>
      </c>
      <c r="E1" s="18" t="s">
        <v>25</v>
      </c>
      <c r="G1" s="37" t="s">
        <v>26</v>
      </c>
      <c r="I1" s="17" t="s">
        <v>27</v>
      </c>
    </row>
    <row r="2" spans="1:9">
      <c r="A2" s="5" t="s">
        <v>5</v>
      </c>
      <c r="B2" s="6">
        <v>4755</v>
      </c>
      <c r="C2" s="39"/>
      <c r="D2" s="39"/>
      <c r="E2" s="39"/>
      <c r="G2" s="39"/>
      <c r="I2" s="40"/>
    </row>
    <row r="3" spans="1:9" ht="14.25">
      <c r="A3" s="5" t="s">
        <v>6</v>
      </c>
      <c r="B3" s="6">
        <v>4758</v>
      </c>
      <c r="C3" s="6">
        <v>4755</v>
      </c>
      <c r="D3" s="6">
        <f>B3-C3</f>
        <v>3</v>
      </c>
      <c r="E3" s="6">
        <f>D3^2</f>
        <v>9</v>
      </c>
      <c r="G3" s="6">
        <f>B3-C3</f>
        <v>3</v>
      </c>
      <c r="I3" s="19">
        <f>ABS((B3 - C3) / B3) * 100</f>
        <v>6.3051702395964693E-2</v>
      </c>
    </row>
    <row r="4" spans="1:9" ht="14.25">
      <c r="A4" s="5" t="s">
        <v>7</v>
      </c>
      <c r="B4" s="6">
        <v>4596</v>
      </c>
      <c r="C4" s="6">
        <v>4758</v>
      </c>
      <c r="D4" s="6">
        <f>B4-C4</f>
        <v>-162</v>
      </c>
      <c r="E4" s="6">
        <f>D4^2</f>
        <v>26244</v>
      </c>
      <c r="G4" s="6">
        <f>ABS(B4-C4)</f>
        <v>162</v>
      </c>
      <c r="I4" s="19">
        <f t="shared" ref="I4:I18" si="0">ABS((B4 - C4) / B4) * 100</f>
        <v>3.524804177545692</v>
      </c>
    </row>
    <row r="5" spans="1:9" ht="14.25">
      <c r="A5" s="5" t="s">
        <v>8</v>
      </c>
      <c r="B5" s="6">
        <v>3992</v>
      </c>
      <c r="C5" s="6">
        <v>4596</v>
      </c>
      <c r="D5" s="6">
        <f t="shared" ref="D5:D18" si="1">B5-C5</f>
        <v>-604</v>
      </c>
      <c r="E5" s="6">
        <f t="shared" ref="E4:E18" si="2">D5^2</f>
        <v>364816</v>
      </c>
      <c r="G5" s="6">
        <f>ABS(B5-C5)</f>
        <v>604</v>
      </c>
      <c r="I5" s="19">
        <f t="shared" si="0"/>
        <v>15.130260521042086</v>
      </c>
    </row>
    <row r="6" spans="1:9" ht="14.25">
      <c r="A6" s="5" t="s">
        <v>9</v>
      </c>
      <c r="B6" s="6">
        <v>4763</v>
      </c>
      <c r="C6" s="6">
        <v>3992</v>
      </c>
      <c r="D6" s="6">
        <f t="shared" si="1"/>
        <v>771</v>
      </c>
      <c r="E6" s="6">
        <f t="shared" si="2"/>
        <v>594441</v>
      </c>
      <c r="G6" s="6">
        <f t="shared" ref="G6:G18" si="3">ABS(B6-C6)</f>
        <v>771</v>
      </c>
      <c r="I6" s="19">
        <f t="shared" si="0"/>
        <v>16.18727692630695</v>
      </c>
    </row>
    <row r="7" spans="1:9" ht="14.25">
      <c r="A7" s="5" t="s">
        <v>10</v>
      </c>
      <c r="B7" s="6">
        <v>4525</v>
      </c>
      <c r="C7" s="6">
        <v>4763</v>
      </c>
      <c r="D7" s="6">
        <f t="shared" si="1"/>
        <v>-238</v>
      </c>
      <c r="E7" s="6">
        <f t="shared" si="2"/>
        <v>56644</v>
      </c>
      <c r="G7" s="6">
        <f t="shared" si="3"/>
        <v>238</v>
      </c>
      <c r="I7" s="19">
        <f t="shared" si="0"/>
        <v>5.2596685082872927</v>
      </c>
    </row>
    <row r="8" spans="1:9" ht="14.25">
      <c r="A8" s="5" t="s">
        <v>11</v>
      </c>
      <c r="B8" s="6">
        <v>3945</v>
      </c>
      <c r="C8" s="6">
        <v>4525</v>
      </c>
      <c r="D8" s="6">
        <f t="shared" si="1"/>
        <v>-580</v>
      </c>
      <c r="E8" s="6">
        <f t="shared" si="2"/>
        <v>336400</v>
      </c>
      <c r="G8" s="6">
        <f t="shared" si="3"/>
        <v>580</v>
      </c>
      <c r="I8" s="19">
        <f t="shared" si="0"/>
        <v>14.702154626108999</v>
      </c>
    </row>
    <row r="9" spans="1:9" ht="14.25">
      <c r="A9" s="5" t="s">
        <v>12</v>
      </c>
      <c r="B9" s="6">
        <v>3652</v>
      </c>
      <c r="C9" s="6">
        <v>3945</v>
      </c>
      <c r="D9" s="6">
        <f t="shared" si="1"/>
        <v>-293</v>
      </c>
      <c r="E9" s="6">
        <f t="shared" si="2"/>
        <v>85849</v>
      </c>
      <c r="G9" s="6">
        <f t="shared" si="3"/>
        <v>293</v>
      </c>
      <c r="I9" s="19">
        <f t="shared" si="0"/>
        <v>8.0230010952902528</v>
      </c>
    </row>
    <row r="10" spans="1:9" ht="14.25">
      <c r="A10" s="5" t="s">
        <v>13</v>
      </c>
      <c r="B10" s="6">
        <v>3944</v>
      </c>
      <c r="C10" s="6">
        <v>3652</v>
      </c>
      <c r="D10" s="6">
        <f t="shared" si="1"/>
        <v>292</v>
      </c>
      <c r="E10" s="6">
        <f t="shared" si="2"/>
        <v>85264</v>
      </c>
      <c r="G10" s="6">
        <f t="shared" si="3"/>
        <v>292</v>
      </c>
      <c r="I10" s="19">
        <f t="shared" si="0"/>
        <v>7.4036511156186622</v>
      </c>
    </row>
    <row r="11" spans="1:9" ht="14.25">
      <c r="A11" s="5" t="s">
        <v>14</v>
      </c>
      <c r="B11" s="6">
        <v>3619</v>
      </c>
      <c r="C11" s="6">
        <v>3944</v>
      </c>
      <c r="D11" s="6">
        <f t="shared" si="1"/>
        <v>-325</v>
      </c>
      <c r="E11" s="6">
        <f t="shared" si="2"/>
        <v>105625</v>
      </c>
      <c r="G11" s="6">
        <f t="shared" si="3"/>
        <v>325</v>
      </c>
      <c r="I11" s="19">
        <f t="shared" si="0"/>
        <v>8.9803813208068526</v>
      </c>
    </row>
    <row r="12" spans="1:9" ht="14.25">
      <c r="A12" s="5" t="s">
        <v>15</v>
      </c>
      <c r="B12" s="6">
        <v>3359</v>
      </c>
      <c r="C12" s="6">
        <v>3619</v>
      </c>
      <c r="D12" s="6">
        <f t="shared" si="1"/>
        <v>-260</v>
      </c>
      <c r="E12" s="6">
        <f t="shared" si="2"/>
        <v>67600</v>
      </c>
      <c r="G12" s="6">
        <f t="shared" si="3"/>
        <v>260</v>
      </c>
      <c r="I12" s="19">
        <f t="shared" si="0"/>
        <v>7.740398928252457</v>
      </c>
    </row>
    <row r="13" spans="1:9" ht="14.25">
      <c r="A13" s="5" t="s">
        <v>16</v>
      </c>
      <c r="B13" s="6">
        <v>3132</v>
      </c>
      <c r="C13" s="6">
        <v>3359</v>
      </c>
      <c r="D13" s="6">
        <f t="shared" si="1"/>
        <v>-227</v>
      </c>
      <c r="E13" s="6">
        <f t="shared" si="2"/>
        <v>51529</v>
      </c>
      <c r="G13" s="6">
        <f t="shared" si="3"/>
        <v>227</v>
      </c>
      <c r="I13" s="19">
        <f t="shared" si="0"/>
        <v>7.2477650063856967</v>
      </c>
    </row>
    <row r="14" spans="1:9">
      <c r="A14" s="7" t="s">
        <v>17</v>
      </c>
      <c r="B14" s="7">
        <v>2854</v>
      </c>
      <c r="C14" s="22">
        <v>3132</v>
      </c>
      <c r="D14" s="6">
        <f t="shared" si="1"/>
        <v>-278</v>
      </c>
      <c r="E14" s="6">
        <f t="shared" si="2"/>
        <v>77284</v>
      </c>
      <c r="G14" s="6">
        <f t="shared" si="3"/>
        <v>278</v>
      </c>
      <c r="I14" s="19">
        <f t="shared" si="0"/>
        <v>9.7407147862648902</v>
      </c>
    </row>
    <row r="15" spans="1:9">
      <c r="A15" s="7" t="s">
        <v>18</v>
      </c>
      <c r="B15" s="7">
        <v>2095</v>
      </c>
      <c r="C15" s="22">
        <v>2854</v>
      </c>
      <c r="D15" s="6">
        <f t="shared" si="1"/>
        <v>-759</v>
      </c>
      <c r="E15" s="6">
        <f t="shared" si="2"/>
        <v>576081</v>
      </c>
      <c r="G15" s="6">
        <f t="shared" si="3"/>
        <v>759</v>
      </c>
      <c r="I15" s="19">
        <f t="shared" si="0"/>
        <v>36.2291169451074</v>
      </c>
    </row>
    <row r="16" spans="1:9">
      <c r="A16" s="7" t="s">
        <v>19</v>
      </c>
      <c r="B16" s="7">
        <v>2316</v>
      </c>
      <c r="C16" s="7">
        <v>2095</v>
      </c>
      <c r="D16" s="6">
        <f t="shared" si="1"/>
        <v>221</v>
      </c>
      <c r="E16" s="6">
        <f t="shared" si="2"/>
        <v>48841</v>
      </c>
      <c r="G16" s="6">
        <f t="shared" si="3"/>
        <v>221</v>
      </c>
      <c r="I16" s="19">
        <f t="shared" si="0"/>
        <v>9.5423143350604498</v>
      </c>
    </row>
    <row r="17" spans="1:9">
      <c r="A17" s="7" t="s">
        <v>20</v>
      </c>
      <c r="B17" s="7">
        <v>1985</v>
      </c>
      <c r="C17" s="7">
        <v>2316</v>
      </c>
      <c r="D17" s="6">
        <f t="shared" si="1"/>
        <v>-331</v>
      </c>
      <c r="E17" s="6">
        <f t="shared" si="2"/>
        <v>109561</v>
      </c>
      <c r="G17" s="6">
        <f t="shared" si="3"/>
        <v>331</v>
      </c>
      <c r="I17" s="19">
        <f t="shared" si="0"/>
        <v>16.675062972292192</v>
      </c>
    </row>
    <row r="18" spans="1:9">
      <c r="A18" s="7" t="s">
        <v>21</v>
      </c>
      <c r="B18" s="7">
        <v>2340</v>
      </c>
      <c r="C18" s="7">
        <v>1985</v>
      </c>
      <c r="D18" s="6">
        <f t="shared" si="1"/>
        <v>355</v>
      </c>
      <c r="E18" s="6">
        <f t="shared" si="2"/>
        <v>126025</v>
      </c>
      <c r="G18" s="6">
        <f t="shared" si="3"/>
        <v>355</v>
      </c>
      <c r="I18" s="19">
        <f t="shared" si="0"/>
        <v>15.17094017094017</v>
      </c>
    </row>
    <row r="19" spans="1:9">
      <c r="A19" s="38"/>
      <c r="B19" s="38"/>
      <c r="C19" s="38"/>
      <c r="D19" s="23" t="s">
        <v>28</v>
      </c>
      <c r="E19" s="24">
        <f>SUMXMY2(B1:B15, C1:C15)/COUNT(B1:B15)</f>
        <v>173413.28571428571</v>
      </c>
      <c r="F19" s="25" t="s">
        <v>29</v>
      </c>
      <c r="G19" s="27">
        <f>SUM(G3:G18)/16</f>
        <v>356.1875</v>
      </c>
      <c r="H19" s="31" t="s">
        <v>30</v>
      </c>
      <c r="I19" s="30" cm="1">
        <f t="array" ref="I19">AVERAGE(ABS((B3:B18 - C3:C18) / B3:B18)) * 100</f>
        <v>11.351285196106623</v>
      </c>
    </row>
    <row r="21" spans="1:9">
      <c r="A21" s="51" t="s">
        <v>1</v>
      </c>
      <c r="B21" s="50" t="s">
        <v>4</v>
      </c>
      <c r="C21" s="35" t="s">
        <v>31</v>
      </c>
      <c r="D21" s="34" t="s">
        <v>24</v>
      </c>
      <c r="E21" s="36" t="s">
        <v>25</v>
      </c>
      <c r="G21" s="34" t="s">
        <v>26</v>
      </c>
      <c r="I21" s="34" t="s">
        <v>32</v>
      </c>
    </row>
    <row r="22" spans="1:9">
      <c r="A22" s="5" t="s">
        <v>5</v>
      </c>
      <c r="B22" s="6">
        <v>4755</v>
      </c>
      <c r="C22" s="41"/>
      <c r="D22" s="42"/>
      <c r="E22" s="42"/>
      <c r="G22" s="42"/>
      <c r="I22" s="42"/>
    </row>
    <row r="23" spans="1:9">
      <c r="A23" s="5" t="s">
        <v>6</v>
      </c>
      <c r="B23" s="6">
        <v>4758</v>
      </c>
      <c r="C23" s="41"/>
      <c r="D23" s="42"/>
      <c r="E23" s="42"/>
      <c r="G23" s="42"/>
      <c r="I23" s="42"/>
    </row>
    <row r="24" spans="1:9">
      <c r="A24" s="5" t="s">
        <v>7</v>
      </c>
      <c r="B24" s="6">
        <v>4596</v>
      </c>
      <c r="C24" s="41"/>
      <c r="D24" s="42"/>
      <c r="E24" s="42"/>
      <c r="G24" s="42"/>
      <c r="I24" s="42"/>
    </row>
    <row r="25" spans="1:9">
      <c r="A25" s="5" t="s">
        <v>8</v>
      </c>
      <c r="B25" s="6">
        <v>3992</v>
      </c>
      <c r="C25" s="41"/>
      <c r="D25" s="42"/>
      <c r="E25" s="42"/>
      <c r="G25" s="42"/>
      <c r="I25" s="42"/>
    </row>
    <row r="26" spans="1:9">
      <c r="A26" s="5" t="s">
        <v>9</v>
      </c>
      <c r="B26" s="6">
        <v>4763</v>
      </c>
      <c r="C26" s="6">
        <f>AVERAGE(B22:B25)</f>
        <v>4525.25</v>
      </c>
      <c r="D26" s="28">
        <f>B26-C26</f>
        <v>237.75</v>
      </c>
      <c r="E26" s="28">
        <f>D26^2</f>
        <v>56525.0625</v>
      </c>
      <c r="G26" s="29">
        <f>ABS(B26-C26)</f>
        <v>237.75</v>
      </c>
      <c r="I26" s="21">
        <f>ABS((B26 - C26) / B26) * 100</f>
        <v>4.9916019315557421</v>
      </c>
    </row>
    <row r="27" spans="1:9">
      <c r="A27" s="5" t="s">
        <v>10</v>
      </c>
      <c r="B27" s="6">
        <v>4525</v>
      </c>
      <c r="C27" s="6">
        <v>4527</v>
      </c>
      <c r="D27" s="28">
        <f>B27-C27</f>
        <v>-2</v>
      </c>
      <c r="E27" s="28">
        <f t="shared" ref="E27:E38" si="4">D27^2</f>
        <v>4</v>
      </c>
      <c r="G27" s="29">
        <f t="shared" ref="G27:G38" si="5">ABS(B27-C27)</f>
        <v>2</v>
      </c>
      <c r="I27" s="21">
        <f t="shared" ref="I27:I38" si="6">ABS((B27 - C27) / B27) * 100</f>
        <v>4.4198895027624308E-2</v>
      </c>
    </row>
    <row r="28" spans="1:9">
      <c r="A28" s="5" t="s">
        <v>11</v>
      </c>
      <c r="B28" s="6">
        <v>3945</v>
      </c>
      <c r="C28" s="6">
        <v>4469</v>
      </c>
      <c r="D28" s="28">
        <f t="shared" ref="D28:D38" si="7">B28-C28</f>
        <v>-524</v>
      </c>
      <c r="E28" s="28">
        <f t="shared" si="4"/>
        <v>274576</v>
      </c>
      <c r="G28" s="29">
        <f t="shared" si="5"/>
        <v>524</v>
      </c>
      <c r="I28" s="21">
        <f t="shared" si="6"/>
        <v>13.282636248415717</v>
      </c>
    </row>
    <row r="29" spans="1:9">
      <c r="A29" s="5" t="s">
        <v>12</v>
      </c>
      <c r="B29" s="6">
        <v>3652</v>
      </c>
      <c r="C29" s="6">
        <v>4306</v>
      </c>
      <c r="D29" s="28">
        <f t="shared" si="7"/>
        <v>-654</v>
      </c>
      <c r="E29" s="28">
        <f t="shared" si="4"/>
        <v>427716</v>
      </c>
      <c r="G29" s="29">
        <f t="shared" si="5"/>
        <v>654</v>
      </c>
      <c r="I29" s="21">
        <f t="shared" si="6"/>
        <v>17.907995618838992</v>
      </c>
    </row>
    <row r="30" spans="1:9">
      <c r="A30" s="5" t="s">
        <v>13</v>
      </c>
      <c r="B30" s="6">
        <v>3944</v>
      </c>
      <c r="C30" s="6">
        <v>4221</v>
      </c>
      <c r="D30" s="28">
        <f t="shared" si="7"/>
        <v>-277</v>
      </c>
      <c r="E30" s="28">
        <f t="shared" si="4"/>
        <v>76729</v>
      </c>
      <c r="G30" s="29">
        <f t="shared" si="5"/>
        <v>277</v>
      </c>
      <c r="I30" s="21">
        <f t="shared" si="6"/>
        <v>7.0233265720081137</v>
      </c>
    </row>
    <row r="31" spans="1:9">
      <c r="A31" s="5" t="s">
        <v>14</v>
      </c>
      <c r="B31" s="6">
        <v>3619</v>
      </c>
      <c r="C31" s="6">
        <v>4017</v>
      </c>
      <c r="D31" s="28">
        <f t="shared" si="7"/>
        <v>-398</v>
      </c>
      <c r="E31" s="28">
        <f t="shared" si="4"/>
        <v>158404</v>
      </c>
      <c r="G31" s="29">
        <f t="shared" si="5"/>
        <v>398</v>
      </c>
      <c r="I31" s="21">
        <f t="shared" si="6"/>
        <v>10.997513125172699</v>
      </c>
    </row>
    <row r="32" spans="1:9">
      <c r="A32" s="5" t="s">
        <v>15</v>
      </c>
      <c r="B32" s="6">
        <v>3359</v>
      </c>
      <c r="C32" s="6">
        <v>3790</v>
      </c>
      <c r="D32" s="28">
        <f t="shared" si="7"/>
        <v>-431</v>
      </c>
      <c r="E32" s="28">
        <f t="shared" si="4"/>
        <v>185761</v>
      </c>
      <c r="G32" s="29">
        <f t="shared" si="5"/>
        <v>431</v>
      </c>
      <c r="I32" s="21">
        <f t="shared" si="6"/>
        <v>12.831199761833878</v>
      </c>
    </row>
    <row r="33" spans="1:18">
      <c r="A33" s="5" t="s">
        <v>16</v>
      </c>
      <c r="B33" s="6">
        <v>3132</v>
      </c>
      <c r="C33" s="6">
        <v>3644</v>
      </c>
      <c r="D33" s="28">
        <f t="shared" si="7"/>
        <v>-512</v>
      </c>
      <c r="E33" s="28">
        <f t="shared" si="4"/>
        <v>262144</v>
      </c>
      <c r="G33" s="29">
        <f t="shared" si="5"/>
        <v>512</v>
      </c>
      <c r="I33" s="21">
        <f t="shared" si="6"/>
        <v>16.347381864623244</v>
      </c>
    </row>
    <row r="34" spans="1:18">
      <c r="A34" s="7" t="s">
        <v>17</v>
      </c>
      <c r="B34" s="7">
        <v>2854</v>
      </c>
      <c r="C34" s="7">
        <v>3514</v>
      </c>
      <c r="D34" s="28">
        <f t="shared" si="7"/>
        <v>-660</v>
      </c>
      <c r="E34" s="28">
        <f t="shared" si="4"/>
        <v>435600</v>
      </c>
      <c r="G34" s="29">
        <f t="shared" si="5"/>
        <v>660</v>
      </c>
      <c r="I34" s="21">
        <f t="shared" si="6"/>
        <v>23.12543798177996</v>
      </c>
    </row>
    <row r="35" spans="1:18">
      <c r="A35" s="7" t="s">
        <v>18</v>
      </c>
      <c r="B35" s="7">
        <v>2095</v>
      </c>
      <c r="C35" s="7">
        <v>3241</v>
      </c>
      <c r="D35" s="28">
        <f t="shared" si="7"/>
        <v>-1146</v>
      </c>
      <c r="E35" s="28">
        <f t="shared" si="4"/>
        <v>1313316</v>
      </c>
      <c r="G35" s="29">
        <f t="shared" si="5"/>
        <v>1146</v>
      </c>
      <c r="I35" s="21">
        <f t="shared" si="6"/>
        <v>54.701670644391406</v>
      </c>
    </row>
    <row r="36" spans="1:18">
      <c r="A36" s="7" t="s">
        <v>19</v>
      </c>
      <c r="B36" s="7">
        <v>2316</v>
      </c>
      <c r="C36" s="7">
        <v>2860</v>
      </c>
      <c r="D36" s="28">
        <f t="shared" si="7"/>
        <v>-544</v>
      </c>
      <c r="E36" s="28">
        <f t="shared" si="4"/>
        <v>295936</v>
      </c>
      <c r="G36" s="29">
        <f t="shared" si="5"/>
        <v>544</v>
      </c>
      <c r="I36" s="21">
        <f t="shared" si="6"/>
        <v>23.488773747841105</v>
      </c>
    </row>
    <row r="37" spans="1:18">
      <c r="A37" s="7" t="s">
        <v>20</v>
      </c>
      <c r="B37" s="7">
        <v>1985</v>
      </c>
      <c r="C37" s="7">
        <v>2599</v>
      </c>
      <c r="D37" s="28">
        <f t="shared" si="7"/>
        <v>-614</v>
      </c>
      <c r="E37" s="28">
        <f t="shared" si="4"/>
        <v>376996</v>
      </c>
      <c r="G37" s="29">
        <f t="shared" si="5"/>
        <v>614</v>
      </c>
      <c r="I37" s="21">
        <f t="shared" si="6"/>
        <v>30.93198992443325</v>
      </c>
      <c r="N37" s="14" t="s">
        <v>33</v>
      </c>
    </row>
    <row r="38" spans="1:18">
      <c r="A38" s="7" t="s">
        <v>21</v>
      </c>
      <c r="B38" s="7">
        <v>2340</v>
      </c>
      <c r="C38" s="7">
        <v>2313</v>
      </c>
      <c r="D38" s="28">
        <f t="shared" si="7"/>
        <v>27</v>
      </c>
      <c r="E38" s="28">
        <f t="shared" si="4"/>
        <v>729</v>
      </c>
      <c r="G38" s="29">
        <f t="shared" si="5"/>
        <v>27</v>
      </c>
      <c r="I38" s="21">
        <f t="shared" si="6"/>
        <v>1.153846153846154</v>
      </c>
      <c r="N38" s="14"/>
    </row>
    <row r="39" spans="1:18">
      <c r="A39" s="38"/>
      <c r="B39" s="38"/>
      <c r="C39" s="38"/>
      <c r="D39" s="23" t="s">
        <v>28</v>
      </c>
      <c r="E39" s="49">
        <f>SUMXMY2(B26:B38, C26:C38)/COUNT(B26:B38)</f>
        <v>297264.3125</v>
      </c>
      <c r="F39" s="25" t="s">
        <v>34</v>
      </c>
      <c r="G39" s="26">
        <f>SUM(G26:G38)/13</f>
        <v>463.59615384615387</v>
      </c>
      <c r="H39" s="31" t="s">
        <v>30</v>
      </c>
      <c r="I39" s="32" cm="1">
        <f t="array" ref="I39">AVERAGE(ABS((B26:B38 - C26:C38) / B26:B38)) * 100</f>
        <v>16.679044036135991</v>
      </c>
      <c r="N39" s="46" t="s">
        <v>35</v>
      </c>
      <c r="O39" s="45" t="s">
        <v>36</v>
      </c>
      <c r="P39" s="45" t="s">
        <v>37</v>
      </c>
      <c r="Q39" s="45" t="s">
        <v>38</v>
      </c>
      <c r="R39" s="15"/>
    </row>
    <row r="40" spans="1:18">
      <c r="N40" s="5" t="s">
        <v>39</v>
      </c>
      <c r="O40" s="6">
        <v>173413.28570000001</v>
      </c>
      <c r="P40" s="6">
        <v>356</v>
      </c>
      <c r="Q40" s="6">
        <v>11</v>
      </c>
      <c r="R40" s="16"/>
    </row>
    <row r="41" spans="1:18">
      <c r="A41" s="51" t="s">
        <v>1</v>
      </c>
      <c r="B41" s="50" t="s">
        <v>4</v>
      </c>
      <c r="C41" s="50" t="s">
        <v>40</v>
      </c>
      <c r="D41" s="50" t="s">
        <v>24</v>
      </c>
      <c r="E41" s="50" t="s">
        <v>25</v>
      </c>
      <c r="G41" s="50" t="s">
        <v>26</v>
      </c>
      <c r="I41" s="50" t="s">
        <v>41</v>
      </c>
      <c r="K41" s="50" t="s">
        <v>42</v>
      </c>
      <c r="L41" s="44" t="s">
        <v>43</v>
      </c>
      <c r="N41" s="5" t="s">
        <v>44</v>
      </c>
      <c r="O41" s="6">
        <v>297273.46149999998</v>
      </c>
      <c r="P41" s="6">
        <v>463.61538460000003</v>
      </c>
      <c r="Q41" s="6">
        <v>16.679447790000001</v>
      </c>
      <c r="R41" s="1"/>
    </row>
    <row r="42" spans="1:18">
      <c r="A42" s="5" t="s">
        <v>5</v>
      </c>
      <c r="B42" s="6">
        <v>4755</v>
      </c>
      <c r="C42" s="6">
        <v>4755</v>
      </c>
      <c r="D42" s="41"/>
      <c r="E42" s="41"/>
      <c r="G42" s="41"/>
      <c r="I42" s="41"/>
      <c r="K42" s="41"/>
      <c r="N42" s="5" t="s">
        <v>45</v>
      </c>
      <c r="O42" s="6">
        <v>193841.49489999999</v>
      </c>
      <c r="P42" s="6">
        <v>325.20425080000001</v>
      </c>
      <c r="Q42" s="6">
        <v>10.27098638</v>
      </c>
      <c r="R42" s="1"/>
    </row>
    <row r="43" spans="1:18">
      <c r="A43" s="5" t="s">
        <v>6</v>
      </c>
      <c r="B43" s="6">
        <v>4758</v>
      </c>
      <c r="C43" s="6">
        <f>(0.2*B43)+(0.73*C42)</f>
        <v>4422.75</v>
      </c>
      <c r="D43" s="6">
        <f>B43-C43</f>
        <v>335.25</v>
      </c>
      <c r="E43" s="6">
        <f>D43^2</f>
        <v>112392.5625</v>
      </c>
      <c r="G43" s="6">
        <f>B43-C43</f>
        <v>335.25</v>
      </c>
      <c r="I43" s="6">
        <f>ABS((B43-C43)/ B43)* 100</f>
        <v>7.0460277427490547</v>
      </c>
      <c r="K43" s="6">
        <f>(B43-C43)/B43</f>
        <v>7.0460277427490545E-2</v>
      </c>
      <c r="N43" s="1"/>
    </row>
    <row r="44" spans="1:18">
      <c r="A44" s="5" t="s">
        <v>7</v>
      </c>
      <c r="B44" s="6">
        <v>4596</v>
      </c>
      <c r="C44" s="6">
        <f t="shared" ref="C44:C57" si="8">(0.2*B44)+(0.74*C43)</f>
        <v>4192.0349999999999</v>
      </c>
      <c r="D44" s="6">
        <f>B44-C44</f>
        <v>403.96500000000015</v>
      </c>
      <c r="E44" s="6">
        <f t="shared" ref="E44:E58" si="9">D44^2</f>
        <v>163187.72122500013</v>
      </c>
      <c r="G44" s="6">
        <f t="shared" ref="G44:G58" si="10">B44-C44</f>
        <v>403.96500000000015</v>
      </c>
      <c r="I44" s="6">
        <f t="shared" ref="I44:I58" si="11">ABS((B44-C44)/ B44)* 100</f>
        <v>8.7894908616188019</v>
      </c>
      <c r="K44" s="6">
        <f t="shared" ref="K44:K58" si="12">(B44-C44)/B44</f>
        <v>8.7894908616188025E-2</v>
      </c>
      <c r="N44" s="1"/>
    </row>
    <row r="45" spans="1:18">
      <c r="A45" s="5" t="s">
        <v>8</v>
      </c>
      <c r="B45" s="6">
        <v>3992</v>
      </c>
      <c r="C45" s="6">
        <f t="shared" si="8"/>
        <v>3900.5059000000001</v>
      </c>
      <c r="D45" s="6">
        <f t="shared" ref="D45:D58" si="13">(B45-C45)</f>
        <v>91.494099999999889</v>
      </c>
      <c r="E45" s="6">
        <f t="shared" si="9"/>
        <v>8371.17033480998</v>
      </c>
      <c r="G45" s="6">
        <f t="shared" si="10"/>
        <v>91.494099999999889</v>
      </c>
      <c r="I45" s="6">
        <f t="shared" si="11"/>
        <v>2.2919363727454884</v>
      </c>
      <c r="K45" s="6">
        <f t="shared" si="12"/>
        <v>2.2919363727454883E-2</v>
      </c>
      <c r="N45" s="1"/>
    </row>
    <row r="46" spans="1:18">
      <c r="A46" s="5" t="s">
        <v>9</v>
      </c>
      <c r="B46" s="6">
        <v>4763</v>
      </c>
      <c r="C46" s="6">
        <f t="shared" si="8"/>
        <v>3838.9743659999999</v>
      </c>
      <c r="D46" s="6">
        <f t="shared" si="13"/>
        <v>924.02563400000008</v>
      </c>
      <c r="E46" s="6">
        <f t="shared" si="9"/>
        <v>853823.37228910206</v>
      </c>
      <c r="G46" s="6">
        <f t="shared" si="10"/>
        <v>924.02563400000008</v>
      </c>
      <c r="I46" s="6">
        <f t="shared" si="11"/>
        <v>19.400076296451818</v>
      </c>
      <c r="K46" s="6">
        <f t="shared" si="12"/>
        <v>0.19400076296451818</v>
      </c>
      <c r="N46" s="1"/>
    </row>
    <row r="47" spans="1:18">
      <c r="A47" s="5" t="s">
        <v>10</v>
      </c>
      <c r="B47" s="6">
        <v>4525</v>
      </c>
      <c r="C47" s="6">
        <f t="shared" si="8"/>
        <v>3745.8410308399998</v>
      </c>
      <c r="D47" s="6">
        <f t="shared" si="13"/>
        <v>779.1589691600002</v>
      </c>
      <c r="E47" s="6">
        <f t="shared" si="9"/>
        <v>607088.69922247413</v>
      </c>
      <c r="G47" s="6">
        <f t="shared" si="10"/>
        <v>779.1589691600002</v>
      </c>
      <c r="I47" s="6">
        <f t="shared" si="11"/>
        <v>17.218982743867407</v>
      </c>
      <c r="K47" s="6">
        <f t="shared" si="12"/>
        <v>0.17218982743867409</v>
      </c>
      <c r="N47" s="1"/>
    </row>
    <row r="48" spans="1:18">
      <c r="A48" s="5" t="s">
        <v>11</v>
      </c>
      <c r="B48" s="6">
        <v>3945</v>
      </c>
      <c r="C48" s="6">
        <f t="shared" si="8"/>
        <v>3560.9223628216</v>
      </c>
      <c r="D48" s="6">
        <f t="shared" si="13"/>
        <v>384.07763717839998</v>
      </c>
      <c r="E48" s="6">
        <f t="shared" si="9"/>
        <v>147515.63138054265</v>
      </c>
      <c r="G48" s="6">
        <f t="shared" si="10"/>
        <v>384.07763717839998</v>
      </c>
      <c r="I48" s="6">
        <f t="shared" si="11"/>
        <v>9.7358082934955643</v>
      </c>
      <c r="K48" s="6">
        <f t="shared" si="12"/>
        <v>9.7358082934955639E-2</v>
      </c>
      <c r="N48" s="1"/>
    </row>
    <row r="49" spans="1:14">
      <c r="A49" s="5" t="s">
        <v>12</v>
      </c>
      <c r="B49" s="6">
        <v>3652</v>
      </c>
      <c r="C49" s="6">
        <f t="shared" si="8"/>
        <v>3365.4825484879839</v>
      </c>
      <c r="D49" s="6">
        <f t="shared" si="13"/>
        <v>286.51745151201612</v>
      </c>
      <c r="E49" s="6">
        <f t="shared" si="9"/>
        <v>82092.250020940512</v>
      </c>
      <c r="G49" s="6">
        <f t="shared" si="10"/>
        <v>286.51745151201612</v>
      </c>
      <c r="I49" s="6">
        <f t="shared" si="11"/>
        <v>7.845494291128591</v>
      </c>
      <c r="K49" s="6">
        <f t="shared" si="12"/>
        <v>7.8454942911285908E-2</v>
      </c>
      <c r="N49" s="1"/>
    </row>
    <row r="50" spans="1:14">
      <c r="A50" s="5" t="s">
        <v>13</v>
      </c>
      <c r="B50" s="6">
        <v>3944</v>
      </c>
      <c r="C50" s="6">
        <f t="shared" si="8"/>
        <v>3279.2570858811082</v>
      </c>
      <c r="D50" s="6">
        <f t="shared" si="13"/>
        <v>664.7429141188918</v>
      </c>
      <c r="E50" s="6">
        <f t="shared" si="9"/>
        <v>441883.14187127637</v>
      </c>
      <c r="G50" s="6">
        <f t="shared" si="10"/>
        <v>664.7429141188918</v>
      </c>
      <c r="I50" s="6">
        <f t="shared" si="11"/>
        <v>16.854536362040868</v>
      </c>
      <c r="K50" s="6">
        <f t="shared" si="12"/>
        <v>0.16854536362040867</v>
      </c>
      <c r="N50" s="1"/>
    </row>
    <row r="51" spans="1:14">
      <c r="A51" s="5" t="s">
        <v>14</v>
      </c>
      <c r="B51" s="6">
        <v>3619</v>
      </c>
      <c r="C51" s="6">
        <f t="shared" si="8"/>
        <v>3150.4502435520203</v>
      </c>
      <c r="D51" s="6">
        <f t="shared" si="13"/>
        <v>468.54975644797969</v>
      </c>
      <c r="E51" s="6">
        <f t="shared" si="9"/>
        <v>219538.8742674611</v>
      </c>
      <c r="G51" s="6">
        <f t="shared" si="10"/>
        <v>468.54975644797969</v>
      </c>
      <c r="I51" s="6">
        <f t="shared" si="11"/>
        <v>12.946939940535499</v>
      </c>
      <c r="K51" s="6">
        <f t="shared" si="12"/>
        <v>0.12946939940535498</v>
      </c>
      <c r="N51" s="1"/>
    </row>
    <row r="52" spans="1:14">
      <c r="A52" s="5" t="s">
        <v>15</v>
      </c>
      <c r="B52" s="6">
        <v>3359</v>
      </c>
      <c r="C52" s="6">
        <f t="shared" si="8"/>
        <v>3003.1331802284953</v>
      </c>
      <c r="D52" s="6">
        <f t="shared" si="13"/>
        <v>355.86681977150465</v>
      </c>
      <c r="E52" s="6">
        <f t="shared" si="9"/>
        <v>126641.19341428457</v>
      </c>
      <c r="G52" s="6">
        <f t="shared" si="10"/>
        <v>355.86681977150465</v>
      </c>
      <c r="I52" s="6">
        <f t="shared" si="11"/>
        <v>10.594427501384478</v>
      </c>
      <c r="K52" s="6">
        <f t="shared" si="12"/>
        <v>0.10594427501384479</v>
      </c>
      <c r="N52" s="1"/>
    </row>
    <row r="53" spans="1:14">
      <c r="A53" s="5" t="s">
        <v>16</v>
      </c>
      <c r="B53" s="6">
        <v>3132</v>
      </c>
      <c r="C53" s="6">
        <f t="shared" si="8"/>
        <v>2848.7185533690867</v>
      </c>
      <c r="D53" s="6">
        <f t="shared" si="13"/>
        <v>283.28144663091325</v>
      </c>
      <c r="E53" s="6">
        <f t="shared" si="9"/>
        <v>80248.378005302948</v>
      </c>
      <c r="G53" s="6">
        <f t="shared" si="10"/>
        <v>283.28144663091325</v>
      </c>
      <c r="I53" s="6">
        <f t="shared" si="11"/>
        <v>9.044746061012555</v>
      </c>
      <c r="K53" s="6">
        <f t="shared" si="12"/>
        <v>9.0447460610125555E-2</v>
      </c>
      <c r="N53" s="1"/>
    </row>
    <row r="54" spans="1:14">
      <c r="A54" s="7" t="s">
        <v>17</v>
      </c>
      <c r="B54" s="7">
        <v>2854</v>
      </c>
      <c r="C54" s="6">
        <f t="shared" si="8"/>
        <v>2678.8517294931244</v>
      </c>
      <c r="D54" s="6">
        <f t="shared" si="13"/>
        <v>175.14827050687563</v>
      </c>
      <c r="E54" s="6">
        <f t="shared" si="9"/>
        <v>30676.91666154968</v>
      </c>
      <c r="G54" s="6">
        <f t="shared" si="10"/>
        <v>175.14827050687563</v>
      </c>
      <c r="I54" s="6">
        <f t="shared" si="11"/>
        <v>6.1369401018526855</v>
      </c>
      <c r="K54" s="6">
        <f t="shared" si="12"/>
        <v>6.1369401018526851E-2</v>
      </c>
    </row>
    <row r="55" spans="1:14">
      <c r="A55" s="7" t="s">
        <v>18</v>
      </c>
      <c r="B55" s="7">
        <v>2095</v>
      </c>
      <c r="C55" s="6">
        <f t="shared" si="8"/>
        <v>2401.3502798249119</v>
      </c>
      <c r="D55" s="6">
        <f t="shared" si="13"/>
        <v>-306.35027982491192</v>
      </c>
      <c r="E55" s="6">
        <f t="shared" si="9"/>
        <v>93850.493948801843</v>
      </c>
      <c r="G55" s="6">
        <f t="shared" si="10"/>
        <v>-306.35027982491192</v>
      </c>
      <c r="I55" s="6">
        <f t="shared" si="11"/>
        <v>14.622925051308444</v>
      </c>
      <c r="K55" s="6">
        <f t="shared" si="12"/>
        <v>-0.14622925051308444</v>
      </c>
    </row>
    <row r="56" spans="1:14">
      <c r="A56" s="7" t="s">
        <v>19</v>
      </c>
      <c r="B56" s="7">
        <v>2316</v>
      </c>
      <c r="C56" s="6">
        <f t="shared" si="8"/>
        <v>2240.1992070704346</v>
      </c>
      <c r="D56" s="6">
        <f t="shared" si="13"/>
        <v>75.800792929565432</v>
      </c>
      <c r="E56" s="6">
        <f t="shared" si="9"/>
        <v>5745.7602087508567</v>
      </c>
      <c r="G56" s="6">
        <f t="shared" si="10"/>
        <v>75.800792929565432</v>
      </c>
      <c r="I56" s="6">
        <f t="shared" si="11"/>
        <v>3.2729185202748456</v>
      </c>
      <c r="K56" s="6">
        <f t="shared" si="12"/>
        <v>3.2729185202748458E-2</v>
      </c>
    </row>
    <row r="57" spans="1:14">
      <c r="A57" s="7" t="s">
        <v>20</v>
      </c>
      <c r="B57" s="7">
        <v>1985</v>
      </c>
      <c r="C57" s="6">
        <f t="shared" si="8"/>
        <v>2054.7474132321213</v>
      </c>
      <c r="D57" s="6">
        <f t="shared" si="13"/>
        <v>-69.747413232121289</v>
      </c>
      <c r="E57" s="6">
        <f t="shared" si="9"/>
        <v>4864.7016525722875</v>
      </c>
      <c r="G57" s="6">
        <f t="shared" si="10"/>
        <v>-69.747413232121289</v>
      </c>
      <c r="I57" s="6">
        <f t="shared" si="11"/>
        <v>3.513723588519964</v>
      </c>
      <c r="K57" s="6">
        <f t="shared" si="12"/>
        <v>-3.5137235885199639E-2</v>
      </c>
    </row>
    <row r="58" spans="1:14">
      <c r="A58" s="7" t="s">
        <v>21</v>
      </c>
      <c r="B58" s="7">
        <v>2340</v>
      </c>
      <c r="C58" s="6">
        <f>(0.2*B58)+(0.74*C57)</f>
        <v>1988.5130857917698</v>
      </c>
      <c r="D58" s="6">
        <f t="shared" si="13"/>
        <v>351.48691420823025</v>
      </c>
      <c r="E58" s="6">
        <f t="shared" si="9"/>
        <v>123543.05085962381</v>
      </c>
      <c r="G58" s="6">
        <f t="shared" si="10"/>
        <v>351.48691420823025</v>
      </c>
      <c r="I58" s="6">
        <f t="shared" si="11"/>
        <v>15.020808299497018</v>
      </c>
      <c r="K58" s="6">
        <f t="shared" si="12"/>
        <v>0.15020808299497018</v>
      </c>
    </row>
    <row r="59" spans="1:14">
      <c r="A59" s="38"/>
      <c r="B59" s="38"/>
      <c r="C59" s="38"/>
      <c r="D59" s="33" t="s">
        <v>28</v>
      </c>
      <c r="E59" s="24">
        <f>SUMXMY2(B43:B58,C43:C58)/COUNT(B43:B58)</f>
        <v>193841.49486640585</v>
      </c>
      <c r="F59" s="25" t="s">
        <v>34</v>
      </c>
      <c r="G59" s="25">
        <f>SUM(G43:G58)/16</f>
        <v>325.20425083795908</v>
      </c>
      <c r="H59" s="31" t="s">
        <v>30</v>
      </c>
      <c r="I59" s="43" cm="1">
        <f t="array" ref="I59">AVERAGE(ABS((B43:B58-C43:C58) / B43:B58)) * 100</f>
        <v>10.270986376780192</v>
      </c>
      <c r="K59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workbookViewId="0">
      <selection activeCell="H36" sqref="H36"/>
    </sheetView>
  </sheetViews>
  <sheetFormatPr defaultRowHeight="14.45"/>
  <cols>
    <col min="1" max="1" width="21.5703125" customWidth="1"/>
    <col min="2" max="2" width="11.140625" customWidth="1"/>
    <col min="3" max="3" width="13.85546875" customWidth="1"/>
    <col min="4" max="4" width="18.42578125" bestFit="1" customWidth="1"/>
    <col min="6" max="6" width="36.5703125" bestFit="1" customWidth="1"/>
    <col min="7" max="7" width="28" bestFit="1" customWidth="1"/>
  </cols>
  <sheetData>
    <row r="1" spans="1:7">
      <c r="A1" s="8" t="s">
        <v>46</v>
      </c>
      <c r="B1" s="9"/>
      <c r="C1" s="9"/>
    </row>
    <row r="2" spans="1:7">
      <c r="A2" s="9"/>
      <c r="B2" s="9"/>
      <c r="C2" s="9"/>
    </row>
    <row r="3" spans="1:7" ht="35.25">
      <c r="A3" s="13" t="s">
        <v>47</v>
      </c>
      <c r="B3" s="11" t="s">
        <v>48</v>
      </c>
      <c r="C3" s="12" t="s">
        <v>49</v>
      </c>
      <c r="F3" s="15"/>
      <c r="G3" s="14"/>
    </row>
    <row r="4" spans="1:7">
      <c r="A4" s="10" t="s">
        <v>50</v>
      </c>
      <c r="B4" s="10">
        <v>71</v>
      </c>
      <c r="C4" s="10">
        <v>34</v>
      </c>
    </row>
    <row r="5" spans="1:7">
      <c r="A5" s="10" t="s">
        <v>51</v>
      </c>
      <c r="B5" s="10">
        <v>189</v>
      </c>
      <c r="C5" s="10">
        <v>76</v>
      </c>
    </row>
    <row r="6" spans="1:7">
      <c r="A6" s="10" t="s">
        <v>52</v>
      </c>
      <c r="B6" s="10">
        <v>167</v>
      </c>
      <c r="C6" s="10">
        <v>78</v>
      </c>
    </row>
    <row r="7" spans="1:7">
      <c r="A7" s="10" t="s">
        <v>53</v>
      </c>
      <c r="B7" s="10">
        <v>81</v>
      </c>
      <c r="C7" s="10">
        <v>29</v>
      </c>
    </row>
    <row r="8" spans="1:7">
      <c r="A8" s="10" t="s">
        <v>54</v>
      </c>
      <c r="B8" s="10">
        <v>37</v>
      </c>
      <c r="C8" s="10">
        <v>35</v>
      </c>
    </row>
    <row r="9" spans="1:7">
      <c r="A9" s="10" t="s">
        <v>55</v>
      </c>
      <c r="B9" s="10">
        <v>20</v>
      </c>
      <c r="C9" s="10">
        <v>12</v>
      </c>
    </row>
    <row r="10" spans="1:7">
      <c r="A10" s="10" t="s">
        <v>56</v>
      </c>
      <c r="B10" s="10">
        <v>189</v>
      </c>
      <c r="C10" s="10">
        <v>109</v>
      </c>
    </row>
    <row r="11" spans="1:7">
      <c r="A11" s="10" t="s">
        <v>57</v>
      </c>
      <c r="B11" s="10">
        <v>216</v>
      </c>
      <c r="C11" s="10">
        <v>135</v>
      </c>
    </row>
    <row r="12" spans="1:7">
      <c r="A12" s="10" t="s">
        <v>58</v>
      </c>
      <c r="B12" s="10">
        <v>75</v>
      </c>
      <c r="C12" s="10">
        <v>54</v>
      </c>
    </row>
    <row r="13" spans="1:7">
      <c r="A13" s="10" t="s">
        <v>59</v>
      </c>
      <c r="B13" s="10">
        <v>106</v>
      </c>
      <c r="C13" s="10">
        <v>49</v>
      </c>
    </row>
    <row r="14" spans="1:7">
      <c r="A14" s="10" t="s">
        <v>60</v>
      </c>
      <c r="B14" s="10">
        <v>105</v>
      </c>
      <c r="C14" s="10">
        <v>51</v>
      </c>
    </row>
    <row r="15" spans="1:7">
      <c r="A15" s="10" t="s">
        <v>61</v>
      </c>
      <c r="B15" s="10">
        <v>141</v>
      </c>
      <c r="C15" s="10">
        <v>73</v>
      </c>
    </row>
    <row r="16" spans="1:7">
      <c r="A16" s="10" t="s">
        <v>62</v>
      </c>
      <c r="B16" s="10">
        <v>7</v>
      </c>
      <c r="C16" s="10">
        <v>9</v>
      </c>
    </row>
    <row r="17" spans="1:3">
      <c r="A17" s="10" t="s">
        <v>63</v>
      </c>
      <c r="B17" s="10">
        <v>69</v>
      </c>
      <c r="C17" s="10">
        <v>41</v>
      </c>
    </row>
    <row r="18" spans="1:3">
      <c r="A18" s="10" t="s">
        <v>64</v>
      </c>
      <c r="B18" s="10">
        <v>8</v>
      </c>
      <c r="C18" s="10">
        <v>8</v>
      </c>
    </row>
    <row r="19" spans="1:3">
      <c r="A19" s="10" t="s">
        <v>65</v>
      </c>
      <c r="B19" s="10">
        <v>110</v>
      </c>
      <c r="C19" s="10">
        <v>52</v>
      </c>
    </row>
    <row r="20" spans="1:3">
      <c r="A20" s="10" t="s">
        <v>66</v>
      </c>
      <c r="B20" s="10">
        <v>247</v>
      </c>
      <c r="C20" s="10">
        <v>183</v>
      </c>
    </row>
    <row r="21" spans="1:3">
      <c r="A21" s="10" t="s">
        <v>67</v>
      </c>
      <c r="B21" s="10">
        <v>69</v>
      </c>
      <c r="C21" s="10">
        <v>39</v>
      </c>
    </row>
    <row r="22" spans="1:3">
      <c r="A22" s="10" t="s">
        <v>68</v>
      </c>
      <c r="B22" s="10">
        <v>200</v>
      </c>
      <c r="C22" s="10">
        <v>120</v>
      </c>
    </row>
    <row r="23" spans="1:3">
      <c r="A23" s="10" t="s">
        <v>69</v>
      </c>
      <c r="B23" s="10">
        <v>188</v>
      </c>
      <c r="C23" s="10">
        <v>156</v>
      </c>
    </row>
    <row r="24" spans="1:3">
      <c r="A24" s="10" t="s">
        <v>70</v>
      </c>
      <c r="B24" s="10">
        <v>55</v>
      </c>
      <c r="C24" s="10">
        <v>43</v>
      </c>
    </row>
    <row r="25" spans="1:3">
      <c r="A25" s="10" t="s">
        <v>71</v>
      </c>
      <c r="B25" s="10">
        <v>269</v>
      </c>
      <c r="C25" s="10">
        <v>179</v>
      </c>
    </row>
    <row r="26" spans="1:3">
      <c r="A26" s="10" t="s">
        <v>72</v>
      </c>
      <c r="B26" s="10">
        <v>158</v>
      </c>
      <c r="C26" s="10">
        <v>132</v>
      </c>
    </row>
    <row r="27" spans="1:3">
      <c r="A27" s="10" t="s">
        <v>73</v>
      </c>
      <c r="B27" s="10">
        <v>103</v>
      </c>
      <c r="C27" s="10">
        <v>53</v>
      </c>
    </row>
    <row r="28" spans="1:3">
      <c r="A28" s="10" t="s">
        <v>74</v>
      </c>
      <c r="B28" s="10">
        <v>203</v>
      </c>
      <c r="C28" s="10">
        <v>83</v>
      </c>
    </row>
    <row r="29" spans="1:3">
      <c r="A29" s="10" t="s">
        <v>75</v>
      </c>
      <c r="B29" s="10">
        <v>118</v>
      </c>
      <c r="C29" s="10">
        <v>43</v>
      </c>
    </row>
    <row r="30" spans="1:3">
      <c r="A30" s="10" t="s">
        <v>76</v>
      </c>
      <c r="B30" s="10">
        <v>223</v>
      </c>
      <c r="C30" s="10">
        <v>118</v>
      </c>
    </row>
    <row r="31" spans="1:3">
      <c r="A31" s="10" t="s">
        <v>77</v>
      </c>
      <c r="B31" s="10">
        <v>34</v>
      </c>
      <c r="C31" s="10">
        <v>46</v>
      </c>
    </row>
    <row r="32" spans="1:3">
      <c r="A32" s="10" t="s">
        <v>78</v>
      </c>
      <c r="B32" s="10">
        <v>392</v>
      </c>
      <c r="C32" s="10">
        <v>172</v>
      </c>
    </row>
    <row r="33" spans="1:8">
      <c r="A33" s="10" t="s">
        <v>79</v>
      </c>
      <c r="B33" s="10">
        <v>139</v>
      </c>
      <c r="C33" s="10">
        <v>86</v>
      </c>
    </row>
    <row r="34" spans="1:8">
      <c r="A34" s="10" t="s">
        <v>80</v>
      </c>
      <c r="B34" s="10">
        <v>512</v>
      </c>
      <c r="C34" s="10">
        <v>421</v>
      </c>
    </row>
    <row r="35" spans="1:8">
      <c r="A35" s="10" t="s">
        <v>81</v>
      </c>
      <c r="B35" s="10">
        <v>364</v>
      </c>
      <c r="C35" s="10">
        <v>225</v>
      </c>
    </row>
    <row r="36" spans="1:8" ht="15">
      <c r="A36" s="47"/>
      <c r="B36" s="48"/>
      <c r="C36" s="47"/>
      <c r="D36" s="48"/>
      <c r="E36" s="47"/>
      <c r="F36" s="47"/>
      <c r="G36" s="47"/>
      <c r="H36" s="48"/>
    </row>
    <row r="37" spans="1:8">
      <c r="A37" t="s">
        <v>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Westminster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Salma Chahed</dc:creator>
  <cp:keywords/>
  <dc:description/>
  <cp:lastModifiedBy/>
  <cp:revision/>
  <dcterms:created xsi:type="dcterms:W3CDTF">2021-01-22T20:09:48Z</dcterms:created>
  <dcterms:modified xsi:type="dcterms:W3CDTF">2025-04-15T03:43:03Z</dcterms:modified>
  <cp:category/>
  <cp:contentStatus/>
</cp:coreProperties>
</file>